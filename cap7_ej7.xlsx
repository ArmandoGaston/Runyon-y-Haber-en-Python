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quipo\Documents\Asuntos profesionales\UBA\Metodología de análisis de OP\Runyon y Haber con Python\Cap 7\"/>
    </mc:Choice>
  </mc:AlternateContent>
  <xr:revisionPtr revIDLastSave="0" documentId="13_ncr:1_{357F517A-0DE0-48FB-8561-82DCD93D951E}" xr6:coauthVersionLast="47" xr6:coauthVersionMax="47" xr10:uidLastSave="{00000000-0000-0000-0000-000000000000}"/>
  <bookViews>
    <workbookView xWindow="-375" yWindow="0" windowWidth="10500" windowHeight="10530" activeTab="1" xr2:uid="{00000000-000D-0000-FFFF-FFFF00000000}"/>
  </bookViews>
  <sheets>
    <sheet name="a-que-se-destina-el-gasto" sheetId="2" r:id="rId1"/>
    <sheet name="Gráfico - Finalidad" sheetId="3" r:id="rId2"/>
    <sheet name="Gráfico - Función" sheetId="4" r:id="rId3"/>
  </sheets>
  <definedNames>
    <definedName name="DatosExternos_1" localSheetId="0" hidden="1">'a-que-se-destina-el-gasto'!$A$1:$H$30</definedName>
  </definedNames>
  <calcPr calcId="191029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2" l="1"/>
  <c r="G31" i="2"/>
  <c r="H3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41153E-ACFA-47A3-9B46-5B1600256995}" keepAlive="1" name="Consulta - a-que-se-destina-el-gasto" description="Conexión a la consulta 'a-que-se-destina-el-gasto' en el libro." type="5" refreshedVersion="7" background="1" saveData="1">
    <dbPr connection="Provider=Microsoft.Mashup.OleDb.1;Data Source=$Workbook$;Location=a-que-se-destina-el-gasto;Extended Properties=&quot;&quot;" command="SELECT * FROM [a-que-se-destina-el-gasto]"/>
  </connection>
</connections>
</file>

<file path=xl/sharedStrings.xml><?xml version="1.0" encoding="utf-8"?>
<sst xmlns="http://schemas.openxmlformats.org/spreadsheetml/2006/main" count="112" uniqueCount="46">
  <si>
    <t>Ejercicio</t>
  </si>
  <si>
    <t>Finalidad</t>
  </si>
  <si>
    <t>Funcion</t>
  </si>
  <si>
    <t>Presupuestado</t>
  </si>
  <si>
    <t>Ejecutado</t>
  </si>
  <si>
    <t>% Ejecutado</t>
  </si>
  <si>
    <t>ADMINISTRACION GUBERNAMENTAL</t>
  </si>
  <si>
    <t>Información y Estadística Básicas</t>
  </si>
  <si>
    <t>Administración Fiscal</t>
  </si>
  <si>
    <t>Control de la Gestión Pública</t>
  </si>
  <si>
    <t>SERVICIOS ECONOMICOS</t>
  </si>
  <si>
    <t>Seguros y Finanzas</t>
  </si>
  <si>
    <t>SERVICIOS DE DEFENSA Y SEGURIDAD</t>
  </si>
  <si>
    <t>Inteligencia</t>
  </si>
  <si>
    <t>Comercio, Turismo y Otros Servicios</t>
  </si>
  <si>
    <t>SERVICIOS SOCIALES</t>
  </si>
  <si>
    <t>Trabajo</t>
  </si>
  <si>
    <t>Ecología y Desarrollo Sostenible</t>
  </si>
  <si>
    <t>Sistema Penal</t>
  </si>
  <si>
    <t>Legislativa</t>
  </si>
  <si>
    <t>Industria</t>
  </si>
  <si>
    <t>Comunicaciones</t>
  </si>
  <si>
    <t>Agricultura, Ganadería y Pesca</t>
  </si>
  <si>
    <t>Dirección Superior Ejecutiva</t>
  </si>
  <si>
    <t>Relaciones Exteriores</t>
  </si>
  <si>
    <t>Vivienda y Urbanismo</t>
  </si>
  <si>
    <t>Agua Potable y Alcantarillado</t>
  </si>
  <si>
    <t>Ciencia, Tecnología e Innovación</t>
  </si>
  <si>
    <t>Defensa</t>
  </si>
  <si>
    <t>Judicial</t>
  </si>
  <si>
    <t>Seguridad Interior</t>
  </si>
  <si>
    <t>Relaciones Interiores</t>
  </si>
  <si>
    <t>Salud</t>
  </si>
  <si>
    <t>Transporte</t>
  </si>
  <si>
    <t>Promoción y Asistencia Social</t>
  </si>
  <si>
    <t>Educación y Cultura</t>
  </si>
  <si>
    <t>Energía, Combustibles y Minería</t>
  </si>
  <si>
    <t>DEUDA PUBLICA</t>
  </si>
  <si>
    <t>Servicio de la Deuda Pública</t>
  </si>
  <si>
    <t>Seguridad Social</t>
  </si>
  <si>
    <t>Total general</t>
  </si>
  <si>
    <t>Etiquetas de fila</t>
  </si>
  <si>
    <t>Suma de Ejecutado</t>
  </si>
  <si>
    <t>Ejecutado (billones)</t>
  </si>
  <si>
    <t>Ejecutado (mil millones)</t>
  </si>
  <si>
    <t>Ejecutado (en miles de millones de pesos)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</si>
</sst>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 7.xlsx]Gráfico - Finalidad!TablaDinámica1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noFill/>
                </a:ln>
                <a:solidFill>
                  <a:srgbClr val="0070C0"/>
                </a:solidFill>
              </a:rPr>
              <a:t>Gasto</a:t>
            </a:r>
            <a:r>
              <a:rPr lang="en-US" baseline="0">
                <a:ln>
                  <a:noFill/>
                </a:ln>
                <a:solidFill>
                  <a:srgbClr val="0070C0"/>
                </a:solidFill>
              </a:rPr>
              <a:t> por finalidad - Estado Nacional - Año 2023</a:t>
            </a:r>
            <a:endParaRPr lang="en-US">
              <a:ln>
                <a:noFill/>
              </a:ln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- Finalidad'!$B$3</c:f>
              <c:strCache>
                <c:ptCount val="1"/>
                <c:pt idx="0">
                  <c:v>Suma de Ejecutado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- Finalidad'!$A$4:$A$9</c:f>
              <c:strCache>
                <c:ptCount val="5"/>
                <c:pt idx="0">
                  <c:v>ADMINISTRACION GUBERNAMENTAL</c:v>
                </c:pt>
                <c:pt idx="1">
                  <c:v>DEUDA PUBLICA</c:v>
                </c:pt>
                <c:pt idx="2">
                  <c:v>SERVICIOS DE DEFENSA Y SEGURIDAD</c:v>
                </c:pt>
                <c:pt idx="3">
                  <c:v>SERVICIOS ECONOMICOS</c:v>
                </c:pt>
                <c:pt idx="4">
                  <c:v>SERVICIOS SOCIALES</c:v>
                </c:pt>
              </c:strCache>
            </c:strRef>
          </c:cat>
          <c:val>
            <c:numRef>
              <c:f>'Gráfico - Finalidad'!$B$4:$B$9</c:f>
              <c:numCache>
                <c:formatCode>General</c:formatCode>
                <c:ptCount val="5"/>
                <c:pt idx="0">
                  <c:v>2349060.4700000002</c:v>
                </c:pt>
                <c:pt idx="1">
                  <c:v>3472800.84</c:v>
                </c:pt>
                <c:pt idx="2">
                  <c:v>1710841.6099999999</c:v>
                </c:pt>
                <c:pt idx="3">
                  <c:v>5647579.0700000003</c:v>
                </c:pt>
                <c:pt idx="4">
                  <c:v>24845207.080000002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34-44EF-A9DB-8D752704F064}"/>
            </c:ext>
          </c:extLst>
        </c:ser>
        <c:ser>
          <c:idx val="1"/>
          <c:order val="1"/>
          <c:tx>
            <c:strRef>
              <c:f>'Gráfico - Finalidad'!$C$3</c:f>
              <c:strCache>
                <c:ptCount val="1"/>
                <c:pt idx="0">
                  <c:v>Ejecutado (en miles de millones de pesos)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'Gráfico - Finalidad'!$A$4:$A$9</c:f>
              <c:strCache>
                <c:ptCount val="5"/>
                <c:pt idx="0">
                  <c:v>ADMINISTRACION GUBERNAMENTAL</c:v>
                </c:pt>
                <c:pt idx="1">
                  <c:v>DEUDA PUBLICA</c:v>
                </c:pt>
                <c:pt idx="2">
                  <c:v>SERVICIOS DE DEFENSA Y SEGURIDAD</c:v>
                </c:pt>
                <c:pt idx="3">
                  <c:v>SERVICIOS ECONOMICOS</c:v>
                </c:pt>
                <c:pt idx="4">
                  <c:v>SERVICIOS SOCIALES</c:v>
                </c:pt>
              </c:strCache>
            </c:strRef>
          </c:cat>
          <c:val>
            <c:numRef>
              <c:f>'Gráfico - Finalidad'!$C$4:$C$9</c:f>
              <c:numCache>
                <c:formatCode>General</c:formatCode>
                <c:ptCount val="5"/>
                <c:pt idx="0">
                  <c:v>2349.0604699999999</c:v>
                </c:pt>
                <c:pt idx="1">
                  <c:v>3472.8008399999999</c:v>
                </c:pt>
                <c:pt idx="2">
                  <c:v>1710.8416099999999</c:v>
                </c:pt>
                <c:pt idx="3">
                  <c:v>5647.5790699999998</c:v>
                </c:pt>
                <c:pt idx="4">
                  <c:v>24845.20708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34-44EF-A9DB-8D752704F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79163760"/>
        <c:axId val="279169584"/>
      </c:barChart>
      <c:valAx>
        <c:axId val="2791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9163760"/>
        <c:crosses val="autoZero"/>
        <c:crossBetween val="between"/>
      </c:valAx>
      <c:catAx>
        <c:axId val="27916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9169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 7.xlsx]Gráfico - Función!TablaDinámica2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ln>
                  <a:noFill/>
                </a:ln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ln>
                  <a:noFill/>
                </a:ln>
                <a:solidFill>
                  <a:srgbClr val="0070C0"/>
                </a:solidFill>
                <a:latin typeface="+mn-lt"/>
                <a:ea typeface="+mn-ea"/>
                <a:cs typeface="+mn-cs"/>
              </a:rPr>
              <a:t>Gasto por finalidad y función - Estado Nacional - Año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ln>
                <a:noFill/>
              </a:ln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- Función'!$B$3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'Gráfico - Función'!$A$4:$A$38</c:f>
              <c:multiLvlStrCache>
                <c:ptCount val="29"/>
                <c:lvl>
                  <c:pt idx="0">
                    <c:v>Administración Fiscal</c:v>
                  </c:pt>
                  <c:pt idx="1">
                    <c:v>Control de la Gestión Pública</c:v>
                  </c:pt>
                  <c:pt idx="2">
                    <c:v>Dirección Superior Ejecutiva</c:v>
                  </c:pt>
                  <c:pt idx="3">
                    <c:v>Información y Estadística Básicas</c:v>
                  </c:pt>
                  <c:pt idx="4">
                    <c:v>Judicial</c:v>
                  </c:pt>
                  <c:pt idx="5">
                    <c:v>Legislativa</c:v>
                  </c:pt>
                  <c:pt idx="6">
                    <c:v>Relaciones Exteriores</c:v>
                  </c:pt>
                  <c:pt idx="7">
                    <c:v>Relaciones Interiores</c:v>
                  </c:pt>
                  <c:pt idx="8">
                    <c:v>Servicio de la Deuda Pública</c:v>
                  </c:pt>
                  <c:pt idx="9">
                    <c:v>Defensa</c:v>
                  </c:pt>
                  <c:pt idx="10">
                    <c:v>Inteligencia</c:v>
                  </c:pt>
                  <c:pt idx="11">
                    <c:v>Seguridad Interior</c:v>
                  </c:pt>
                  <c:pt idx="12">
                    <c:v>Sistema Penal</c:v>
                  </c:pt>
                  <c:pt idx="13">
                    <c:v>Agricultura, Ganadería y Pesca</c:v>
                  </c:pt>
                  <c:pt idx="14">
                    <c:v>Comercio, Turismo y Otros Servicios</c:v>
                  </c:pt>
                  <c:pt idx="15">
                    <c:v>Comunicaciones</c:v>
                  </c:pt>
                  <c:pt idx="16">
                    <c:v>Ecología y Desarrollo Sostenible</c:v>
                  </c:pt>
                  <c:pt idx="17">
                    <c:v>Energía, Combustibles y Minería</c:v>
                  </c:pt>
                  <c:pt idx="18">
                    <c:v>Industria</c:v>
                  </c:pt>
                  <c:pt idx="19">
                    <c:v>Seguros y Finanzas</c:v>
                  </c:pt>
                  <c:pt idx="20">
                    <c:v>Transporte</c:v>
                  </c:pt>
                  <c:pt idx="21">
                    <c:v>Agua Potable y Alcantarillado</c:v>
                  </c:pt>
                  <c:pt idx="22">
                    <c:v>Ciencia, Tecnología e Innovación</c:v>
                  </c:pt>
                  <c:pt idx="23">
                    <c:v>Educación y Cultura</c:v>
                  </c:pt>
                  <c:pt idx="24">
                    <c:v>Promoción y Asistencia Social</c:v>
                  </c:pt>
                  <c:pt idx="25">
                    <c:v>Salud</c:v>
                  </c:pt>
                  <c:pt idx="26">
                    <c:v>Seguridad Social</c:v>
                  </c:pt>
                  <c:pt idx="27">
                    <c:v>Trabajo</c:v>
                  </c:pt>
                  <c:pt idx="28">
                    <c:v>Vivienda y Urbanismo</c:v>
                  </c:pt>
                </c:lvl>
                <c:lvl>
                  <c:pt idx="0">
                    <c:v>ADMINISTRACION GUBERNAMENTAL</c:v>
                  </c:pt>
                  <c:pt idx="8">
                    <c:v>DEUDA PUBLICA</c:v>
                  </c:pt>
                  <c:pt idx="9">
                    <c:v>SERVICIOS DE DEFENSA Y SEGURIDAD</c:v>
                  </c:pt>
                  <c:pt idx="13">
                    <c:v>SERVICIOS ECONOMICOS</c:v>
                  </c:pt>
                  <c:pt idx="21">
                    <c:v>SERVICIOS SOCIALES</c:v>
                  </c:pt>
                </c:lvl>
              </c:multiLvlStrCache>
            </c:multiLvlStrRef>
          </c:cat>
          <c:val>
            <c:numRef>
              <c:f>'Gráfico - Función'!$B$4:$B$38</c:f>
              <c:numCache>
                <c:formatCode>0.00</c:formatCode>
                <c:ptCount val="29"/>
                <c:pt idx="0">
                  <c:v>23.390439999999998</c:v>
                </c:pt>
                <c:pt idx="1">
                  <c:v>29.51641</c:v>
                </c:pt>
                <c:pt idx="2">
                  <c:v>179.79930999999999</c:v>
                </c:pt>
                <c:pt idx="3">
                  <c:v>15.109059999999999</c:v>
                </c:pt>
                <c:pt idx="4">
                  <c:v>755.45150999999998</c:v>
                </c:pt>
                <c:pt idx="5">
                  <c:v>166.55577</c:v>
                </c:pt>
                <c:pt idx="6">
                  <c:v>231.75764000000001</c:v>
                </c:pt>
                <c:pt idx="7">
                  <c:v>947.48032999999998</c:v>
                </c:pt>
                <c:pt idx="8">
                  <c:v>3472.8008399999999</c:v>
                </c:pt>
                <c:pt idx="9">
                  <c:v>636.07596999999998</c:v>
                </c:pt>
                <c:pt idx="10">
                  <c:v>64.453860000000006</c:v>
                </c:pt>
                <c:pt idx="11">
                  <c:v>862.89975000000004</c:v>
                </c:pt>
                <c:pt idx="12">
                  <c:v>147.41202999999999</c:v>
                </c:pt>
                <c:pt idx="13">
                  <c:v>194.7912</c:v>
                </c:pt>
                <c:pt idx="14">
                  <c:v>81.24430000000001</c:v>
                </c:pt>
                <c:pt idx="15">
                  <c:v>188.322</c:v>
                </c:pt>
                <c:pt idx="16">
                  <c:v>119.25475</c:v>
                </c:pt>
                <c:pt idx="17">
                  <c:v>3204.9590600000001</c:v>
                </c:pt>
                <c:pt idx="18">
                  <c:v>121.0363</c:v>
                </c:pt>
                <c:pt idx="19">
                  <c:v>41.228580000000001</c:v>
                </c:pt>
                <c:pt idx="20">
                  <c:v>1696.7428799999998</c:v>
                </c:pt>
                <c:pt idx="21">
                  <c:v>423.22843999999998</c:v>
                </c:pt>
                <c:pt idx="22">
                  <c:v>577.40906000000007</c:v>
                </c:pt>
                <c:pt idx="23">
                  <c:v>2757.0496499999999</c:v>
                </c:pt>
                <c:pt idx="24">
                  <c:v>2477.2611400000001</c:v>
                </c:pt>
                <c:pt idx="25">
                  <c:v>1364.70975</c:v>
                </c:pt>
                <c:pt idx="26">
                  <c:v>16792.800800000001</c:v>
                </c:pt>
                <c:pt idx="27">
                  <c:v>117.65744000000001</c:v>
                </c:pt>
                <c:pt idx="28">
                  <c:v>335.0908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E-4DEC-A682-D5726C974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056160"/>
        <c:axId val="731311440"/>
      </c:barChart>
      <c:catAx>
        <c:axId val="26905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1311440"/>
        <c:crosses val="autoZero"/>
        <c:auto val="1"/>
        <c:lblAlgn val="ctr"/>
        <c:lblOffset val="100"/>
        <c:noMultiLvlLbl val="0"/>
      </c:catAx>
      <c:valAx>
        <c:axId val="73131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6905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1871660</xdr:colOff>
      <xdr:row>10</xdr:row>
      <xdr:rowOff>185737</xdr:rowOff>
    </xdr:from>
    <xdr:to>
      <xdr:col>4</xdr:col>
      <xdr:colOff>161924</xdr:colOff>
      <xdr:row>33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CB3936-B705-4793-B8E0-26BCFF73D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390524</xdr:colOff>
      <xdr:row>41</xdr:row>
      <xdr:rowOff>90486</xdr:rowOff>
    </xdr:from>
    <xdr:to>
      <xdr:col>14</xdr:col>
      <xdr:colOff>200024</xdr:colOff>
      <xdr:row>83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1B0F03-8866-49D0-BFA3-EF97D6EE9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quipo" refreshedDate="45585.664780671294" createdVersion="7" refreshedVersion="7" minRefreshableVersion="3" recordCount="29" xr:uid="{9595A966-2274-4FD0-B0A5-1AA6B992B7E2}">
  <cacheSource type="worksheet">
    <worksheetSource name="a_que_se_destina_el_gasto"/>
  </cacheSource>
  <cacheFields count="8">
    <cacheField name="Ejercicio" numFmtId="0">
      <sharedItems containsSemiMixedTypes="0" containsString="0" containsNumber="1" containsInteger="1" minValue="2023" maxValue="2023"/>
    </cacheField>
    <cacheField name="Finalidad" numFmtId="0">
      <sharedItems count="5">
        <s v="ADMINISTRACION GUBERNAMENTAL"/>
        <s v="SERVICIOS ECONOMICOS"/>
        <s v="SERVICIOS DE DEFENSA Y SEGURIDAD"/>
        <s v="SERVICIOS SOCIALES"/>
        <s v="DEUDA PUBLICA"/>
      </sharedItems>
    </cacheField>
    <cacheField name="Funcion" numFmtId="0">
      <sharedItems count="29">
        <s v="Información y Estadística Básicas"/>
        <s v="Administración Fiscal"/>
        <s v="Control de la Gestión Pública"/>
        <s v="Seguros y Finanzas"/>
        <s v="Inteligencia"/>
        <s v="Comercio, Turismo y Otros Servicios"/>
        <s v="Trabajo"/>
        <s v="Ecología y Desarrollo Sostenible"/>
        <s v="Sistema Penal"/>
        <s v="Legislativa"/>
        <s v="Industria"/>
        <s v="Comunicaciones"/>
        <s v="Agricultura, Ganadería y Pesca"/>
        <s v="Dirección Superior Ejecutiva"/>
        <s v="Relaciones Exteriores"/>
        <s v="Vivienda y Urbanismo"/>
        <s v="Agua Potable y Alcantarillado"/>
        <s v="Ciencia, Tecnología e Innovación"/>
        <s v="Defensa"/>
        <s v="Judicial"/>
        <s v="Seguridad Interior"/>
        <s v="Relaciones Interiores"/>
        <s v="Salud"/>
        <s v="Transporte"/>
        <s v="Promoción y Asistencia Social"/>
        <s v="Educación y Cultura"/>
        <s v="Energía, Combustibles y Minería"/>
        <s v="Servicio de la Deuda Pública"/>
        <s v="Seguridad Social"/>
      </sharedItems>
    </cacheField>
    <cacheField name="Presupuestado" numFmtId="0">
      <sharedItems containsSemiMixedTypes="0" containsString="0" containsNumber="1" minValue="16577.099999999999" maxValue="16964540.600000001"/>
    </cacheField>
    <cacheField name="Ejecutado" numFmtId="0">
      <sharedItems containsSemiMixedTypes="0" containsString="0" containsNumber="1" minValue="15109.06" maxValue="16792800.800000001"/>
    </cacheField>
    <cacheField name="% Ejecutado" numFmtId="0">
      <sharedItems containsSemiMixedTypes="0" containsString="0" containsNumber="1" minValue="69.959999999999994" maxValue="99.31"/>
    </cacheField>
    <cacheField name="Ejecutado (billones)" numFmtId="0">
      <sharedItems containsSemiMixedTypes="0" containsString="0" containsNumber="1" minValue="1.5109059999999999E-2" maxValue="16.792800800000002"/>
    </cacheField>
    <cacheField name="Ejecutado (mil millones)" numFmtId="0">
      <sharedItems containsSemiMixedTypes="0" containsString="0" containsNumber="1" minValue="15.109059999999999" maxValue="16792.8008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3"/>
    <x v="0"/>
    <x v="0"/>
    <n v="16577.099999999999"/>
    <n v="15109.06"/>
    <n v="91.14"/>
    <n v="1.5109059999999999E-2"/>
    <n v="15.109059999999999"/>
  </r>
  <r>
    <n v="2023"/>
    <x v="0"/>
    <x v="1"/>
    <n v="26186.41"/>
    <n v="23390.44"/>
    <n v="89.32"/>
    <n v="2.3390439999999998E-2"/>
    <n v="23.390439999999998"/>
  </r>
  <r>
    <n v="2023"/>
    <x v="0"/>
    <x v="2"/>
    <n v="29874.03"/>
    <n v="29516.41"/>
    <n v="98.8"/>
    <n v="2.951641E-2"/>
    <n v="29.51641"/>
  </r>
  <r>
    <n v="2023"/>
    <x v="1"/>
    <x v="3"/>
    <n v="41512.949999999997"/>
    <n v="41228.58"/>
    <n v="99.31"/>
    <n v="4.1228580000000001E-2"/>
    <n v="41.228580000000001"/>
  </r>
  <r>
    <n v="2023"/>
    <x v="2"/>
    <x v="4"/>
    <n v="66480.81"/>
    <n v="64453.86"/>
    <n v="96.95"/>
    <n v="6.4453860000000002E-2"/>
    <n v="64.453860000000006"/>
  </r>
  <r>
    <n v="2023"/>
    <x v="1"/>
    <x v="5"/>
    <n v="101675.23"/>
    <n v="81244.3"/>
    <n v="79.91"/>
    <n v="8.1244300000000005E-2"/>
    <n v="81.24430000000001"/>
  </r>
  <r>
    <n v="2023"/>
    <x v="3"/>
    <x v="6"/>
    <n v="123897.4"/>
    <n v="117657.44"/>
    <n v="94.96"/>
    <n v="0.11765744"/>
    <n v="117.65744000000001"/>
  </r>
  <r>
    <n v="2023"/>
    <x v="1"/>
    <x v="7"/>
    <n v="126587.4"/>
    <n v="119254.75"/>
    <n v="94.21"/>
    <n v="0.11925475000000001"/>
    <n v="119.25475"/>
  </r>
  <r>
    <n v="2023"/>
    <x v="2"/>
    <x v="8"/>
    <n v="152013.85999999999"/>
    <n v="147412.03"/>
    <n v="96.97"/>
    <n v="0.14741203"/>
    <n v="147.41202999999999"/>
  </r>
  <r>
    <n v="2023"/>
    <x v="0"/>
    <x v="9"/>
    <n v="167872.14"/>
    <n v="166555.76999999999"/>
    <n v="99.22"/>
    <n v="0.16655576999999999"/>
    <n v="166.55577"/>
  </r>
  <r>
    <n v="2023"/>
    <x v="1"/>
    <x v="10"/>
    <n v="173003.03"/>
    <n v="121036.3"/>
    <n v="69.959999999999994"/>
    <n v="0.1210363"/>
    <n v="121.0363"/>
  </r>
  <r>
    <n v="2023"/>
    <x v="1"/>
    <x v="11"/>
    <n v="193104.75"/>
    <n v="188322"/>
    <n v="97.52"/>
    <n v="0.18832199999999999"/>
    <n v="188.322"/>
  </r>
  <r>
    <n v="2023"/>
    <x v="1"/>
    <x v="12"/>
    <n v="221207.91"/>
    <n v="194791.2"/>
    <n v="88.06"/>
    <n v="0.19479120000000003"/>
    <n v="194.7912"/>
  </r>
  <r>
    <n v="2023"/>
    <x v="0"/>
    <x v="13"/>
    <n v="225460.49"/>
    <n v="179799.31"/>
    <n v="79.75"/>
    <n v="0.17979930999999999"/>
    <n v="179.79930999999999"/>
  </r>
  <r>
    <n v="2023"/>
    <x v="0"/>
    <x v="14"/>
    <n v="253624.33"/>
    <n v="231757.64"/>
    <n v="91.38"/>
    <n v="0.23175764000000001"/>
    <n v="231.75764000000001"/>
  </r>
  <r>
    <n v="2023"/>
    <x v="3"/>
    <x v="15"/>
    <n v="440841.69"/>
    <n v="335090.8"/>
    <n v="76.010000000000005"/>
    <n v="0.33509079999999997"/>
    <n v="335.0908"/>
  </r>
  <r>
    <n v="2023"/>
    <x v="3"/>
    <x v="16"/>
    <n v="475506.5"/>
    <n v="423228.44"/>
    <n v="89.01"/>
    <n v="0.42322843999999998"/>
    <n v="423.22843999999998"/>
  </r>
  <r>
    <n v="2023"/>
    <x v="3"/>
    <x v="17"/>
    <n v="594712.42000000004"/>
    <n v="577409.06000000006"/>
    <n v="97.09"/>
    <n v="0.57740906000000003"/>
    <n v="577.40906000000007"/>
  </r>
  <r>
    <n v="2023"/>
    <x v="2"/>
    <x v="18"/>
    <n v="650241.86"/>
    <n v="636075.97"/>
    <n v="97.82"/>
    <n v="0.63607596999999994"/>
    <n v="636.07596999999998"/>
  </r>
  <r>
    <n v="2023"/>
    <x v="0"/>
    <x v="19"/>
    <n v="779310.17"/>
    <n v="755451.51"/>
    <n v="96.94"/>
    <n v="0.75545150999999999"/>
    <n v="755.45150999999998"/>
  </r>
  <r>
    <n v="2023"/>
    <x v="2"/>
    <x v="20"/>
    <n v="918984.88"/>
    <n v="862899.75"/>
    <n v="93.9"/>
    <n v="0.86289974999999997"/>
    <n v="862.89975000000004"/>
  </r>
  <r>
    <n v="2023"/>
    <x v="0"/>
    <x v="21"/>
    <n v="1034486.68"/>
    <n v="947480.33"/>
    <n v="91.59"/>
    <n v="0.94748032999999998"/>
    <n v="947.48032999999998"/>
  </r>
  <r>
    <n v="2023"/>
    <x v="3"/>
    <x v="22"/>
    <n v="1460436.95"/>
    <n v="1364709.75"/>
    <n v="93.45"/>
    <n v="1.3647097500000001"/>
    <n v="1364.70975"/>
  </r>
  <r>
    <n v="2023"/>
    <x v="1"/>
    <x v="23"/>
    <n v="1838711.36"/>
    <n v="1696742.88"/>
    <n v="92.28"/>
    <n v="1.69674288"/>
    <n v="1696.7428799999998"/>
  </r>
  <r>
    <n v="2023"/>
    <x v="3"/>
    <x v="24"/>
    <n v="2569894.0299999998"/>
    <n v="2477261.14"/>
    <n v="96.4"/>
    <n v="2.47726114"/>
    <n v="2477.2611400000001"/>
  </r>
  <r>
    <n v="2023"/>
    <x v="3"/>
    <x v="25"/>
    <n v="2846909.22"/>
    <n v="2757049.65"/>
    <n v="96.84"/>
    <n v="2.7570496499999999"/>
    <n v="2757.0496499999999"/>
  </r>
  <r>
    <n v="2023"/>
    <x v="1"/>
    <x v="26"/>
    <n v="3425057.11"/>
    <n v="3204959.06"/>
    <n v="93.57"/>
    <n v="3.2049590600000002"/>
    <n v="3204.9590600000001"/>
  </r>
  <r>
    <n v="2023"/>
    <x v="4"/>
    <x v="27"/>
    <n v="4492722"/>
    <n v="3472800.84"/>
    <n v="77.3"/>
    <n v="3.4728008399999997"/>
    <n v="3472.8008399999999"/>
  </r>
  <r>
    <n v="2023"/>
    <x v="3"/>
    <x v="28"/>
    <n v="16964540.600000001"/>
    <n v="16792800.800000001"/>
    <n v="98.99"/>
    <n v="16.792800800000002"/>
    <n v="16792.8008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0B8E2-2F07-4FC8-9C82-E9364699F77B}" name="TablaDinámica1" cacheId="2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3:C9" firstHeaderRow="0" firstDataRow="1" firstDataCol="1"/>
  <pivotFields count="8"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Ejecutado" fld="4" baseField="0" baseItem="0"/>
    <dataField name="Ejecutado (en miles de millones de pesos)" fld="7" baseField="1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00C86-F24E-4104-8C25-A513786CDD9D}" name="TablaDinámica2" cacheId="2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3:B38" firstHeaderRow="1" firstDataRow="1" firstDataCol="1"/>
  <pivotFields count="8"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axis="axisRow" showAll="0">
      <items count="30">
        <item x="1"/>
        <item x="12"/>
        <item x="16"/>
        <item x="17"/>
        <item x="5"/>
        <item x="11"/>
        <item x="2"/>
        <item x="18"/>
        <item x="13"/>
        <item x="7"/>
        <item x="25"/>
        <item x="26"/>
        <item x="10"/>
        <item x="0"/>
        <item x="4"/>
        <item x="19"/>
        <item x="9"/>
        <item x="24"/>
        <item x="14"/>
        <item x="21"/>
        <item x="22"/>
        <item x="20"/>
        <item x="28"/>
        <item x="3"/>
        <item x="27"/>
        <item x="8"/>
        <item x="6"/>
        <item x="23"/>
        <item x="15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"/>
    <field x="2"/>
  </rowFields>
  <rowItems count="35">
    <i>
      <x/>
    </i>
    <i r="1">
      <x/>
    </i>
    <i r="1">
      <x v="6"/>
    </i>
    <i r="1">
      <x v="8"/>
    </i>
    <i r="1">
      <x v="13"/>
    </i>
    <i r="1">
      <x v="15"/>
    </i>
    <i r="1">
      <x v="16"/>
    </i>
    <i r="1">
      <x v="18"/>
    </i>
    <i r="1">
      <x v="19"/>
    </i>
    <i>
      <x v="1"/>
    </i>
    <i r="1">
      <x v="24"/>
    </i>
    <i>
      <x v="2"/>
    </i>
    <i r="1">
      <x v="7"/>
    </i>
    <i r="1">
      <x v="14"/>
    </i>
    <i r="1">
      <x v="21"/>
    </i>
    <i r="1">
      <x v="25"/>
    </i>
    <i>
      <x v="3"/>
    </i>
    <i r="1">
      <x v="1"/>
    </i>
    <i r="1">
      <x v="4"/>
    </i>
    <i r="1">
      <x v="5"/>
    </i>
    <i r="1">
      <x v="9"/>
    </i>
    <i r="1">
      <x v="11"/>
    </i>
    <i r="1">
      <x v="12"/>
    </i>
    <i r="1">
      <x v="23"/>
    </i>
    <i r="1">
      <x v="27"/>
    </i>
    <i>
      <x v="4"/>
    </i>
    <i r="1">
      <x v="2"/>
    </i>
    <i r="1">
      <x v="3"/>
    </i>
    <i r="1">
      <x v="10"/>
    </i>
    <i r="1">
      <x v="17"/>
    </i>
    <i r="1">
      <x v="20"/>
    </i>
    <i r="1">
      <x v="22"/>
    </i>
    <i r="1">
      <x v="26"/>
    </i>
    <i r="1">
      <x v="28"/>
    </i>
    <i t="grand">
      <x/>
    </i>
  </rowItems>
  <colItems count="1">
    <i/>
  </colItems>
  <dataFields count="1">
    <dataField name="Ejecutado (en miles de millones de pesos)" fld="7" baseField="2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8A5E6E6-8B53-4A60-8E15-3493D03C716A}" autoFormatId="16" applyNumberFormats="0" applyBorderFormats="0" applyFontFormats="0" applyPatternFormats="0" applyAlignmentFormats="0" applyWidthHeightFormats="0">
  <queryTableRefresh nextId="9">
    <queryTableFields count="8">
      <queryTableField id="1" name="Ejercicio" tableColumnId="1"/>
      <queryTableField id="2" name="Finalidad" tableColumnId="2"/>
      <queryTableField id="3" name="Funcion" tableColumnId="3"/>
      <queryTableField id="4" name="Presupuestado" tableColumnId="4"/>
      <queryTableField id="5" name="Ejecutado" tableColumnId="5"/>
      <queryTableField id="6" name="% Ejecutado" tableColumnId="6"/>
      <queryTableField id="7" name="Ejecutado (billones)" tableColumnId="7"/>
      <queryTableField id="8" name="Ejecutado (mil millones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9D878B-17C8-4577-8CAC-70CBDF34C7EA}" name="a_que_se_destina_el_gasto" displayName="a_que_se_destina_el_gasto" ref="A1:H31" tableType="queryTable" totalsRowCount="1">
  <autoFilter ref="A1:H30" xr:uid="{629D878B-17C8-4577-8CAC-70CBDF34C7EA}"/>
  <tableColumns count="8">
    <tableColumn id="1" xr3:uid="{408AF4D6-6FED-412F-B71A-8D58D1B1B9E1}" uniqueName="1" name="Ejercicio" queryTableFieldId="1" dataDxfId="12" totalsRowDxfId="5"/>
    <tableColumn id="2" xr3:uid="{23328EA0-8C8A-40EF-9956-ACD0B4359D90}" uniqueName="2" name="Finalidad" queryTableFieldId="2" dataDxfId="11" totalsRowDxfId="4"/>
    <tableColumn id="3" xr3:uid="{C7E7F960-199F-4945-A841-80A262D10216}" uniqueName="3" name="Funcion" queryTableFieldId="3" dataDxfId="10" totalsRowDxfId="3"/>
    <tableColumn id="4" xr3:uid="{A6CB7361-15EE-4E4C-B452-65D29739D331}" uniqueName="4" name="Presupuestado" queryTableFieldId="4" dataDxfId="9" totalsRowDxfId="2"/>
    <tableColumn id="5" xr3:uid="{6DEB5E43-1145-44A2-8C13-B2AF3A741CB8}" uniqueName="5" name="Ejecutado" totalsRowFunction="sum" queryTableFieldId="5" dataDxfId="8" totalsRowDxfId="1"/>
    <tableColumn id="6" xr3:uid="{9792D4E1-D845-43E7-A112-FC7B3DCF4A7C}" uniqueName="6" name="% Ejecutado" queryTableFieldId="6" dataDxfId="7" totalsRowDxfId="0"/>
    <tableColumn id="7" xr3:uid="{597514CA-A107-4131-A019-FB5D49824900}" uniqueName="7" name="Ejecutado (billones)" totalsRowFunction="sum" queryTableFieldId="7" dataDxfId="6"/>
    <tableColumn id="8" xr3:uid="{944F1329-D3B7-4643-A537-1D966E6837BB}" uniqueName="8" name="Ejecutado (mil millones)" totalsRowFunction="sum" queryTableFieldId="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41E8-A8EE-4B8A-9AAC-AA2D851E248A}">
  <dimension ref="A1:H31"/>
  <sheetViews>
    <sheetView topLeftCell="C13" workbookViewId="0">
      <selection activeCell="E31" sqref="E31"/>
    </sheetView>
  </sheetViews>
  <sheetFormatPr baseColWidth="10" defaultRowHeight="15" x14ac:dyDescent="0.25"/>
  <cols>
    <col min="1" max="1" width="10.7109375" bestFit="1" customWidth="1"/>
    <col min="2" max="2" width="33.85546875" bestFit="1" customWidth="1"/>
    <col min="3" max="3" width="33.140625" bestFit="1" customWidth="1"/>
    <col min="4" max="4" width="16.5703125" bestFit="1" customWidth="1"/>
    <col min="5" max="5" width="12" bestFit="1" customWidth="1"/>
    <col min="6" max="6" width="14" bestFit="1" customWidth="1"/>
    <col min="7" max="7" width="21.140625" bestFit="1" customWidth="1"/>
    <col min="8" max="8" width="2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</v>
      </c>
      <c r="H1" t="s">
        <v>44</v>
      </c>
    </row>
    <row r="2" spans="1:8" x14ac:dyDescent="0.25">
      <c r="A2" s="1">
        <v>2023</v>
      </c>
      <c r="B2" s="1" t="s">
        <v>6</v>
      </c>
      <c r="C2" s="1" t="s">
        <v>7</v>
      </c>
      <c r="D2" s="1">
        <v>16577.099999999999</v>
      </c>
      <c r="E2" s="1">
        <v>15109.06</v>
      </c>
      <c r="F2" s="1">
        <v>91.14</v>
      </c>
      <c r="G2" s="1">
        <v>1.5109059999999999E-2</v>
      </c>
      <c r="H2">
        <v>15.109059999999999</v>
      </c>
    </row>
    <row r="3" spans="1:8" x14ac:dyDescent="0.25">
      <c r="A3" s="1">
        <v>2023</v>
      </c>
      <c r="B3" s="1" t="s">
        <v>6</v>
      </c>
      <c r="C3" s="1" t="s">
        <v>8</v>
      </c>
      <c r="D3" s="1">
        <v>26186.41</v>
      </c>
      <c r="E3" s="1">
        <v>23390.44</v>
      </c>
      <c r="F3" s="1">
        <v>89.32</v>
      </c>
      <c r="G3" s="1">
        <v>2.3390439999999998E-2</v>
      </c>
      <c r="H3">
        <v>23.390439999999998</v>
      </c>
    </row>
    <row r="4" spans="1:8" x14ac:dyDescent="0.25">
      <c r="A4" s="1">
        <v>2023</v>
      </c>
      <c r="B4" s="1" t="s">
        <v>6</v>
      </c>
      <c r="C4" s="1" t="s">
        <v>9</v>
      </c>
      <c r="D4" s="1">
        <v>29874.03</v>
      </c>
      <c r="E4" s="1">
        <v>29516.41</v>
      </c>
      <c r="F4" s="1">
        <v>98.8</v>
      </c>
      <c r="G4" s="1">
        <v>2.951641E-2</v>
      </c>
      <c r="H4">
        <v>29.51641</v>
      </c>
    </row>
    <row r="5" spans="1:8" x14ac:dyDescent="0.25">
      <c r="A5" s="1">
        <v>2023</v>
      </c>
      <c r="B5" s="1" t="s">
        <v>10</v>
      </c>
      <c r="C5" s="1" t="s">
        <v>11</v>
      </c>
      <c r="D5" s="1">
        <v>41512.949999999997</v>
      </c>
      <c r="E5" s="1">
        <v>41228.58</v>
      </c>
      <c r="F5" s="1">
        <v>99.31</v>
      </c>
      <c r="G5" s="1">
        <v>4.1228580000000001E-2</v>
      </c>
      <c r="H5">
        <v>41.228580000000001</v>
      </c>
    </row>
    <row r="6" spans="1:8" x14ac:dyDescent="0.25">
      <c r="A6" s="1">
        <v>2023</v>
      </c>
      <c r="B6" s="1" t="s">
        <v>12</v>
      </c>
      <c r="C6" s="1" t="s">
        <v>13</v>
      </c>
      <c r="D6" s="1">
        <v>66480.81</v>
      </c>
      <c r="E6" s="1">
        <v>64453.86</v>
      </c>
      <c r="F6" s="1">
        <v>96.95</v>
      </c>
      <c r="G6" s="1">
        <v>6.4453860000000002E-2</v>
      </c>
      <c r="H6">
        <v>64.453860000000006</v>
      </c>
    </row>
    <row r="7" spans="1:8" x14ac:dyDescent="0.25">
      <c r="A7" s="1">
        <v>2023</v>
      </c>
      <c r="B7" s="1" t="s">
        <v>10</v>
      </c>
      <c r="C7" s="1" t="s">
        <v>14</v>
      </c>
      <c r="D7" s="1">
        <v>101675.23</v>
      </c>
      <c r="E7" s="1">
        <v>81244.3</v>
      </c>
      <c r="F7" s="1">
        <v>79.91</v>
      </c>
      <c r="G7" s="1">
        <v>8.1244300000000005E-2</v>
      </c>
      <c r="H7">
        <v>81.24430000000001</v>
      </c>
    </row>
    <row r="8" spans="1:8" x14ac:dyDescent="0.25">
      <c r="A8" s="1">
        <v>2023</v>
      </c>
      <c r="B8" s="1" t="s">
        <v>15</v>
      </c>
      <c r="C8" s="1" t="s">
        <v>16</v>
      </c>
      <c r="D8" s="1">
        <v>123897.4</v>
      </c>
      <c r="E8" s="1">
        <v>117657.44</v>
      </c>
      <c r="F8" s="1">
        <v>94.96</v>
      </c>
      <c r="G8" s="1">
        <v>0.11765744</v>
      </c>
      <c r="H8">
        <v>117.65744000000001</v>
      </c>
    </row>
    <row r="9" spans="1:8" x14ac:dyDescent="0.25">
      <c r="A9" s="1">
        <v>2023</v>
      </c>
      <c r="B9" s="1" t="s">
        <v>10</v>
      </c>
      <c r="C9" s="1" t="s">
        <v>17</v>
      </c>
      <c r="D9" s="1">
        <v>126587.4</v>
      </c>
      <c r="E9" s="1">
        <v>119254.75</v>
      </c>
      <c r="F9" s="1">
        <v>94.21</v>
      </c>
      <c r="G9" s="1">
        <v>0.11925475000000001</v>
      </c>
      <c r="H9">
        <v>119.25475</v>
      </c>
    </row>
    <row r="10" spans="1:8" x14ac:dyDescent="0.25">
      <c r="A10" s="1">
        <v>2023</v>
      </c>
      <c r="B10" s="1" t="s">
        <v>12</v>
      </c>
      <c r="C10" s="1" t="s">
        <v>18</v>
      </c>
      <c r="D10" s="1">
        <v>152013.85999999999</v>
      </c>
      <c r="E10" s="1">
        <v>147412.03</v>
      </c>
      <c r="F10" s="1">
        <v>96.97</v>
      </c>
      <c r="G10" s="1">
        <v>0.14741203</v>
      </c>
      <c r="H10">
        <v>147.41202999999999</v>
      </c>
    </row>
    <row r="11" spans="1:8" x14ac:dyDescent="0.25">
      <c r="A11" s="1">
        <v>2023</v>
      </c>
      <c r="B11" s="1" t="s">
        <v>6</v>
      </c>
      <c r="C11" s="1" t="s">
        <v>19</v>
      </c>
      <c r="D11" s="1">
        <v>167872.14</v>
      </c>
      <c r="E11" s="1">
        <v>166555.76999999999</v>
      </c>
      <c r="F11" s="1">
        <v>99.22</v>
      </c>
      <c r="G11" s="1">
        <v>0.16655576999999999</v>
      </c>
      <c r="H11">
        <v>166.55577</v>
      </c>
    </row>
    <row r="12" spans="1:8" x14ac:dyDescent="0.25">
      <c r="A12" s="1">
        <v>2023</v>
      </c>
      <c r="B12" s="1" t="s">
        <v>10</v>
      </c>
      <c r="C12" s="1" t="s">
        <v>20</v>
      </c>
      <c r="D12" s="1">
        <v>173003.03</v>
      </c>
      <c r="E12" s="1">
        <v>121036.3</v>
      </c>
      <c r="F12" s="1">
        <v>69.959999999999994</v>
      </c>
      <c r="G12" s="1">
        <v>0.1210363</v>
      </c>
      <c r="H12">
        <v>121.0363</v>
      </c>
    </row>
    <row r="13" spans="1:8" x14ac:dyDescent="0.25">
      <c r="A13" s="1">
        <v>2023</v>
      </c>
      <c r="B13" s="1" t="s">
        <v>10</v>
      </c>
      <c r="C13" s="1" t="s">
        <v>21</v>
      </c>
      <c r="D13" s="1">
        <v>193104.75</v>
      </c>
      <c r="E13" s="1">
        <v>188322</v>
      </c>
      <c r="F13" s="1">
        <v>97.52</v>
      </c>
      <c r="G13" s="1">
        <v>0.18832199999999999</v>
      </c>
      <c r="H13">
        <v>188.322</v>
      </c>
    </row>
    <row r="14" spans="1:8" x14ac:dyDescent="0.25">
      <c r="A14" s="1">
        <v>2023</v>
      </c>
      <c r="B14" s="1" t="s">
        <v>10</v>
      </c>
      <c r="C14" s="1" t="s">
        <v>22</v>
      </c>
      <c r="D14" s="1">
        <v>221207.91</v>
      </c>
      <c r="E14" s="1">
        <v>194791.2</v>
      </c>
      <c r="F14" s="1">
        <v>88.06</v>
      </c>
      <c r="G14" s="1">
        <v>0.19479120000000003</v>
      </c>
      <c r="H14">
        <v>194.7912</v>
      </c>
    </row>
    <row r="15" spans="1:8" x14ac:dyDescent="0.25">
      <c r="A15" s="1">
        <v>2023</v>
      </c>
      <c r="B15" s="1" t="s">
        <v>6</v>
      </c>
      <c r="C15" s="1" t="s">
        <v>23</v>
      </c>
      <c r="D15" s="1">
        <v>225460.49</v>
      </c>
      <c r="E15" s="1">
        <v>179799.31</v>
      </c>
      <c r="F15" s="1">
        <v>79.75</v>
      </c>
      <c r="G15" s="1">
        <v>0.17979930999999999</v>
      </c>
      <c r="H15">
        <v>179.79930999999999</v>
      </c>
    </row>
    <row r="16" spans="1:8" x14ac:dyDescent="0.25">
      <c r="A16" s="1">
        <v>2023</v>
      </c>
      <c r="B16" s="1" t="s">
        <v>6</v>
      </c>
      <c r="C16" s="1" t="s">
        <v>24</v>
      </c>
      <c r="D16" s="1">
        <v>253624.33</v>
      </c>
      <c r="E16" s="1">
        <v>231757.64</v>
      </c>
      <c r="F16" s="1">
        <v>91.38</v>
      </c>
      <c r="G16" s="1">
        <v>0.23175764000000001</v>
      </c>
      <c r="H16">
        <v>231.75764000000001</v>
      </c>
    </row>
    <row r="17" spans="1:8" x14ac:dyDescent="0.25">
      <c r="A17" s="1">
        <v>2023</v>
      </c>
      <c r="B17" s="1" t="s">
        <v>15</v>
      </c>
      <c r="C17" s="1" t="s">
        <v>25</v>
      </c>
      <c r="D17" s="1">
        <v>440841.69</v>
      </c>
      <c r="E17" s="1">
        <v>335090.8</v>
      </c>
      <c r="F17" s="1">
        <v>76.010000000000005</v>
      </c>
      <c r="G17" s="1">
        <v>0.33509079999999997</v>
      </c>
      <c r="H17">
        <v>335.0908</v>
      </c>
    </row>
    <row r="18" spans="1:8" x14ac:dyDescent="0.25">
      <c r="A18" s="1">
        <v>2023</v>
      </c>
      <c r="B18" s="1" t="s">
        <v>15</v>
      </c>
      <c r="C18" s="1" t="s">
        <v>26</v>
      </c>
      <c r="D18" s="1">
        <v>475506.5</v>
      </c>
      <c r="E18" s="1">
        <v>423228.44</v>
      </c>
      <c r="F18" s="1">
        <v>89.01</v>
      </c>
      <c r="G18" s="1">
        <v>0.42322843999999998</v>
      </c>
      <c r="H18">
        <v>423.22843999999998</v>
      </c>
    </row>
    <row r="19" spans="1:8" x14ac:dyDescent="0.25">
      <c r="A19" s="1">
        <v>2023</v>
      </c>
      <c r="B19" s="1" t="s">
        <v>15</v>
      </c>
      <c r="C19" s="1" t="s">
        <v>27</v>
      </c>
      <c r="D19" s="1">
        <v>594712.42000000004</v>
      </c>
      <c r="E19" s="1">
        <v>577409.06000000006</v>
      </c>
      <c r="F19" s="1">
        <v>97.09</v>
      </c>
      <c r="G19" s="1">
        <v>0.57740906000000003</v>
      </c>
      <c r="H19">
        <v>577.40906000000007</v>
      </c>
    </row>
    <row r="20" spans="1:8" x14ac:dyDescent="0.25">
      <c r="A20" s="1">
        <v>2023</v>
      </c>
      <c r="B20" s="1" t="s">
        <v>12</v>
      </c>
      <c r="C20" s="1" t="s">
        <v>28</v>
      </c>
      <c r="D20" s="1">
        <v>650241.86</v>
      </c>
      <c r="E20" s="1">
        <v>636075.97</v>
      </c>
      <c r="F20" s="1">
        <v>97.82</v>
      </c>
      <c r="G20" s="1">
        <v>0.63607596999999994</v>
      </c>
      <c r="H20">
        <v>636.07596999999998</v>
      </c>
    </row>
    <row r="21" spans="1:8" x14ac:dyDescent="0.25">
      <c r="A21" s="1">
        <v>2023</v>
      </c>
      <c r="B21" s="1" t="s">
        <v>6</v>
      </c>
      <c r="C21" s="1" t="s">
        <v>29</v>
      </c>
      <c r="D21" s="1">
        <v>779310.17</v>
      </c>
      <c r="E21" s="1">
        <v>755451.51</v>
      </c>
      <c r="F21" s="1">
        <v>96.94</v>
      </c>
      <c r="G21" s="1">
        <v>0.75545150999999999</v>
      </c>
      <c r="H21">
        <v>755.45150999999998</v>
      </c>
    </row>
    <row r="22" spans="1:8" x14ac:dyDescent="0.25">
      <c r="A22" s="1">
        <v>2023</v>
      </c>
      <c r="B22" s="1" t="s">
        <v>12</v>
      </c>
      <c r="C22" s="1" t="s">
        <v>30</v>
      </c>
      <c r="D22" s="1">
        <v>918984.88</v>
      </c>
      <c r="E22" s="1">
        <v>862899.75</v>
      </c>
      <c r="F22" s="1">
        <v>93.9</v>
      </c>
      <c r="G22" s="1">
        <v>0.86289974999999997</v>
      </c>
      <c r="H22">
        <v>862.89975000000004</v>
      </c>
    </row>
    <row r="23" spans="1:8" x14ac:dyDescent="0.25">
      <c r="A23" s="1">
        <v>2023</v>
      </c>
      <c r="B23" s="1" t="s">
        <v>6</v>
      </c>
      <c r="C23" s="1" t="s">
        <v>31</v>
      </c>
      <c r="D23" s="1">
        <v>1034486.68</v>
      </c>
      <c r="E23" s="1">
        <v>947480.33</v>
      </c>
      <c r="F23" s="1">
        <v>91.59</v>
      </c>
      <c r="G23" s="1">
        <v>0.94748032999999998</v>
      </c>
      <c r="H23">
        <v>947.48032999999998</v>
      </c>
    </row>
    <row r="24" spans="1:8" x14ac:dyDescent="0.25">
      <c r="A24" s="1">
        <v>2023</v>
      </c>
      <c r="B24" s="1" t="s">
        <v>15</v>
      </c>
      <c r="C24" s="1" t="s">
        <v>32</v>
      </c>
      <c r="D24" s="1">
        <v>1460436.95</v>
      </c>
      <c r="E24" s="1">
        <v>1364709.75</v>
      </c>
      <c r="F24" s="1">
        <v>93.45</v>
      </c>
      <c r="G24" s="1">
        <v>1.3647097500000001</v>
      </c>
      <c r="H24">
        <v>1364.70975</v>
      </c>
    </row>
    <row r="25" spans="1:8" x14ac:dyDescent="0.25">
      <c r="A25" s="1">
        <v>2023</v>
      </c>
      <c r="B25" s="1" t="s">
        <v>10</v>
      </c>
      <c r="C25" s="1" t="s">
        <v>33</v>
      </c>
      <c r="D25" s="1">
        <v>1838711.36</v>
      </c>
      <c r="E25" s="1">
        <v>1696742.88</v>
      </c>
      <c r="F25" s="1">
        <v>92.28</v>
      </c>
      <c r="G25" s="1">
        <v>1.69674288</v>
      </c>
      <c r="H25">
        <v>1696.7428799999998</v>
      </c>
    </row>
    <row r="26" spans="1:8" x14ac:dyDescent="0.25">
      <c r="A26" s="1">
        <v>2023</v>
      </c>
      <c r="B26" s="1" t="s">
        <v>15</v>
      </c>
      <c r="C26" s="1" t="s">
        <v>34</v>
      </c>
      <c r="D26" s="1">
        <v>2569894.0299999998</v>
      </c>
      <c r="E26" s="1">
        <v>2477261.14</v>
      </c>
      <c r="F26" s="1">
        <v>96.4</v>
      </c>
      <c r="G26" s="1">
        <v>2.47726114</v>
      </c>
      <c r="H26">
        <v>2477.2611400000001</v>
      </c>
    </row>
    <row r="27" spans="1:8" x14ac:dyDescent="0.25">
      <c r="A27" s="1">
        <v>2023</v>
      </c>
      <c r="B27" s="1" t="s">
        <v>15</v>
      </c>
      <c r="C27" s="1" t="s">
        <v>35</v>
      </c>
      <c r="D27" s="1">
        <v>2846909.22</v>
      </c>
      <c r="E27" s="1">
        <v>2757049.65</v>
      </c>
      <c r="F27" s="1">
        <v>96.84</v>
      </c>
      <c r="G27" s="1">
        <v>2.7570496499999999</v>
      </c>
      <c r="H27">
        <v>2757.0496499999999</v>
      </c>
    </row>
    <row r="28" spans="1:8" x14ac:dyDescent="0.25">
      <c r="A28" s="1">
        <v>2023</v>
      </c>
      <c r="B28" s="1" t="s">
        <v>10</v>
      </c>
      <c r="C28" s="1" t="s">
        <v>36</v>
      </c>
      <c r="D28" s="1">
        <v>3425057.11</v>
      </c>
      <c r="E28" s="1">
        <v>3204959.06</v>
      </c>
      <c r="F28" s="1">
        <v>93.57</v>
      </c>
      <c r="G28" s="1">
        <v>3.2049590600000002</v>
      </c>
      <c r="H28">
        <v>3204.9590600000001</v>
      </c>
    </row>
    <row r="29" spans="1:8" x14ac:dyDescent="0.25">
      <c r="A29" s="1">
        <v>2023</v>
      </c>
      <c r="B29" s="1" t="s">
        <v>37</v>
      </c>
      <c r="C29" s="1" t="s">
        <v>38</v>
      </c>
      <c r="D29" s="1">
        <v>4492722</v>
      </c>
      <c r="E29" s="1">
        <v>3472800.84</v>
      </c>
      <c r="F29" s="1">
        <v>77.3</v>
      </c>
      <c r="G29" s="1">
        <v>3.4728008399999997</v>
      </c>
      <c r="H29">
        <v>3472.8008399999999</v>
      </c>
    </row>
    <row r="30" spans="1:8" x14ac:dyDescent="0.25">
      <c r="A30" s="1">
        <v>2023</v>
      </c>
      <c r="B30" s="1" t="s">
        <v>15</v>
      </c>
      <c r="C30" s="1" t="s">
        <v>39</v>
      </c>
      <c r="D30" s="1">
        <v>16964540.600000001</v>
      </c>
      <c r="E30" s="1">
        <v>16792800.800000001</v>
      </c>
      <c r="F30" s="1">
        <v>98.99</v>
      </c>
      <c r="G30" s="1">
        <v>16.792800800000002</v>
      </c>
      <c r="H30">
        <v>16792.800800000001</v>
      </c>
    </row>
    <row r="31" spans="1:8" x14ac:dyDescent="0.25">
      <c r="A31" s="1"/>
      <c r="B31" s="1"/>
      <c r="C31" s="1"/>
      <c r="D31" s="1"/>
      <c r="E31" s="1">
        <f>SUBTOTAL(109,a_que_se_destina_el_gasto[Ejecutado])</f>
        <v>38025489.07</v>
      </c>
      <c r="F31" s="1"/>
      <c r="G31">
        <f>SUBTOTAL(109,a_que_se_destina_el_gasto[Ejecutado (billones)])</f>
        <v>38.025489069999999</v>
      </c>
      <c r="H31">
        <f>SUBTOTAL(109,a_que_se_destina_el_gasto[Ejecutado (mil millones)])</f>
        <v>38025.489070000003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866D-3E94-454A-8286-EC4AC091232E}">
  <dimension ref="A3:C9"/>
  <sheetViews>
    <sheetView tabSelected="1" workbookViewId="0">
      <selection activeCell="B8" sqref="B8"/>
    </sheetView>
  </sheetViews>
  <sheetFormatPr baseColWidth="10" defaultRowHeight="15" x14ac:dyDescent="0.25"/>
  <cols>
    <col min="1" max="1" width="33.85546875" bestFit="1" customWidth="1"/>
    <col min="2" max="2" width="17.85546875" bestFit="1" customWidth="1"/>
    <col min="3" max="3" width="39" bestFit="1" customWidth="1"/>
    <col min="4" max="4" width="27.28515625" bestFit="1" customWidth="1"/>
    <col min="5" max="5" width="30.140625" bestFit="1" customWidth="1"/>
    <col min="6" max="6" width="33.140625" bestFit="1" customWidth="1"/>
    <col min="7" max="7" width="15.42578125" bestFit="1" customWidth="1"/>
    <col min="8" max="8" width="27" bestFit="1" customWidth="1"/>
    <col min="9" max="9" width="10" bestFit="1" customWidth="1"/>
    <col min="10" max="10" width="26" bestFit="1" customWidth="1"/>
    <col min="11" max="11" width="29.5703125" bestFit="1" customWidth="1"/>
    <col min="12" max="12" width="18.28515625" bestFit="1" customWidth="1"/>
    <col min="13" max="13" width="30" bestFit="1" customWidth="1"/>
    <col min="14" max="14" width="9" bestFit="1" customWidth="1"/>
    <col min="15" max="15" width="30" bestFit="1" customWidth="1"/>
    <col min="17" max="17" width="10" bestFit="1" customWidth="1"/>
    <col min="18" max="18" width="10.28515625" bestFit="1" customWidth="1"/>
    <col min="19" max="19" width="27.42578125" bestFit="1" customWidth="1"/>
    <col min="20" max="20" width="20.140625" bestFit="1" customWidth="1"/>
    <col min="21" max="21" width="19.85546875" bestFit="1" customWidth="1"/>
    <col min="22" max="22" width="11" bestFit="1" customWidth="1"/>
    <col min="23" max="23" width="17.140625" bestFit="1" customWidth="1"/>
    <col min="24" max="24" width="15.42578125" bestFit="1" customWidth="1"/>
    <col min="25" max="25" width="17.5703125" bestFit="1" customWidth="1"/>
    <col min="26" max="26" width="26" bestFit="1" customWidth="1"/>
    <col min="27" max="27" width="13.42578125" bestFit="1" customWidth="1"/>
    <col min="28" max="28" width="10" bestFit="1" customWidth="1"/>
    <col min="29" max="29" width="11" bestFit="1" customWidth="1"/>
    <col min="30" max="30" width="20.5703125" bestFit="1" customWidth="1"/>
    <col min="31" max="31" width="12.5703125" bestFit="1" customWidth="1"/>
  </cols>
  <sheetData>
    <row r="3" spans="1:3" x14ac:dyDescent="0.25">
      <c r="A3" s="2" t="s">
        <v>41</v>
      </c>
      <c r="B3" t="s">
        <v>42</v>
      </c>
      <c r="C3" t="s">
        <v>45</v>
      </c>
    </row>
    <row r="4" spans="1:3" x14ac:dyDescent="0.25">
      <c r="A4" s="3" t="s">
        <v>6</v>
      </c>
      <c r="B4" s="1">
        <v>2349060.4700000002</v>
      </c>
      <c r="C4" s="1">
        <v>2349.0604699999999</v>
      </c>
    </row>
    <row r="5" spans="1:3" x14ac:dyDescent="0.25">
      <c r="A5" s="3" t="s">
        <v>37</v>
      </c>
      <c r="B5" s="1">
        <v>3472800.84</v>
      </c>
      <c r="C5" s="1">
        <v>3472.8008399999999</v>
      </c>
    </row>
    <row r="6" spans="1:3" x14ac:dyDescent="0.25">
      <c r="A6" s="3" t="s">
        <v>12</v>
      </c>
      <c r="B6" s="1">
        <v>1710841.6099999999</v>
      </c>
      <c r="C6" s="1">
        <v>1710.8416099999999</v>
      </c>
    </row>
    <row r="7" spans="1:3" x14ac:dyDescent="0.25">
      <c r="A7" s="3" t="s">
        <v>10</v>
      </c>
      <c r="B7" s="1">
        <v>5647579.0700000003</v>
      </c>
      <c r="C7" s="1">
        <v>5647.5790699999998</v>
      </c>
    </row>
    <row r="8" spans="1:3" x14ac:dyDescent="0.25">
      <c r="A8" s="3" t="s">
        <v>15</v>
      </c>
      <c r="B8" s="1">
        <v>24845207.080000002</v>
      </c>
      <c r="C8" s="1">
        <v>24845.20708</v>
      </c>
    </row>
    <row r="9" spans="1:3" x14ac:dyDescent="0.25">
      <c r="A9" s="3" t="s">
        <v>40</v>
      </c>
      <c r="B9" s="1">
        <v>38025489.07</v>
      </c>
      <c r="C9" s="1">
        <v>38025.489069999996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FD2C-C3E7-4FDA-9E44-428852299E97}">
  <dimension ref="A3:B38"/>
  <sheetViews>
    <sheetView topLeftCell="A31" workbookViewId="0">
      <selection activeCell="B36" sqref="B36"/>
    </sheetView>
  </sheetViews>
  <sheetFormatPr baseColWidth="10" defaultRowHeight="15" x14ac:dyDescent="0.25"/>
  <cols>
    <col min="1" max="1" width="36.85546875" bestFit="1" customWidth="1"/>
    <col min="2" max="2" width="39" bestFit="1" customWidth="1"/>
    <col min="3" max="3" width="30.28515625" bestFit="1" customWidth="1"/>
  </cols>
  <sheetData>
    <row r="3" spans="1:2" x14ac:dyDescent="0.25">
      <c r="A3" s="2" t="s">
        <v>41</v>
      </c>
      <c r="B3" t="s">
        <v>45</v>
      </c>
    </row>
    <row r="4" spans="1:2" x14ac:dyDescent="0.25">
      <c r="A4" s="3" t="s">
        <v>6</v>
      </c>
      <c r="B4" s="4">
        <v>2349.0604699999999</v>
      </c>
    </row>
    <row r="5" spans="1:2" x14ac:dyDescent="0.25">
      <c r="A5" s="5" t="s">
        <v>8</v>
      </c>
      <c r="B5" s="4">
        <v>23.390439999999998</v>
      </c>
    </row>
    <row r="6" spans="1:2" x14ac:dyDescent="0.25">
      <c r="A6" s="5" t="s">
        <v>9</v>
      </c>
      <c r="B6" s="4">
        <v>29.51641</v>
      </c>
    </row>
    <row r="7" spans="1:2" x14ac:dyDescent="0.25">
      <c r="A7" s="5" t="s">
        <v>23</v>
      </c>
      <c r="B7" s="4">
        <v>179.79930999999999</v>
      </c>
    </row>
    <row r="8" spans="1:2" x14ac:dyDescent="0.25">
      <c r="A8" s="5" t="s">
        <v>7</v>
      </c>
      <c r="B8" s="4">
        <v>15.109059999999999</v>
      </c>
    </row>
    <row r="9" spans="1:2" x14ac:dyDescent="0.25">
      <c r="A9" s="5" t="s">
        <v>29</v>
      </c>
      <c r="B9" s="4">
        <v>755.45150999999998</v>
      </c>
    </row>
    <row r="10" spans="1:2" x14ac:dyDescent="0.25">
      <c r="A10" s="5" t="s">
        <v>19</v>
      </c>
      <c r="B10" s="4">
        <v>166.55577</v>
      </c>
    </row>
    <row r="11" spans="1:2" x14ac:dyDescent="0.25">
      <c r="A11" s="5" t="s">
        <v>24</v>
      </c>
      <c r="B11" s="4">
        <v>231.75764000000001</v>
      </c>
    </row>
    <row r="12" spans="1:2" x14ac:dyDescent="0.25">
      <c r="A12" s="5" t="s">
        <v>31</v>
      </c>
      <c r="B12" s="4">
        <v>947.48032999999998</v>
      </c>
    </row>
    <row r="13" spans="1:2" x14ac:dyDescent="0.25">
      <c r="A13" s="3" t="s">
        <v>37</v>
      </c>
      <c r="B13" s="4">
        <v>3472.8008399999999</v>
      </c>
    </row>
    <row r="14" spans="1:2" x14ac:dyDescent="0.25">
      <c r="A14" s="5" t="s">
        <v>38</v>
      </c>
      <c r="B14" s="4">
        <v>3472.8008399999999</v>
      </c>
    </row>
    <row r="15" spans="1:2" x14ac:dyDescent="0.25">
      <c r="A15" s="3" t="s">
        <v>12</v>
      </c>
      <c r="B15" s="4">
        <v>1710.8416099999999</v>
      </c>
    </row>
    <row r="16" spans="1:2" x14ac:dyDescent="0.25">
      <c r="A16" s="5" t="s">
        <v>28</v>
      </c>
      <c r="B16" s="4">
        <v>636.07596999999998</v>
      </c>
    </row>
    <row r="17" spans="1:2" x14ac:dyDescent="0.25">
      <c r="A17" s="5" t="s">
        <v>13</v>
      </c>
      <c r="B17" s="4">
        <v>64.453860000000006</v>
      </c>
    </row>
    <row r="18" spans="1:2" x14ac:dyDescent="0.25">
      <c r="A18" s="5" t="s">
        <v>30</v>
      </c>
      <c r="B18" s="4">
        <v>862.89975000000004</v>
      </c>
    </row>
    <row r="19" spans="1:2" x14ac:dyDescent="0.25">
      <c r="A19" s="5" t="s">
        <v>18</v>
      </c>
      <c r="B19" s="4">
        <v>147.41202999999999</v>
      </c>
    </row>
    <row r="20" spans="1:2" x14ac:dyDescent="0.25">
      <c r="A20" s="3" t="s">
        <v>10</v>
      </c>
      <c r="B20" s="4">
        <v>5647.5790699999998</v>
      </c>
    </row>
    <row r="21" spans="1:2" x14ac:dyDescent="0.25">
      <c r="A21" s="5" t="s">
        <v>22</v>
      </c>
      <c r="B21" s="4">
        <v>194.7912</v>
      </c>
    </row>
    <row r="22" spans="1:2" x14ac:dyDescent="0.25">
      <c r="A22" s="5" t="s">
        <v>14</v>
      </c>
      <c r="B22" s="4">
        <v>81.24430000000001</v>
      </c>
    </row>
    <row r="23" spans="1:2" x14ac:dyDescent="0.25">
      <c r="A23" s="5" t="s">
        <v>21</v>
      </c>
      <c r="B23" s="4">
        <v>188.322</v>
      </c>
    </row>
    <row r="24" spans="1:2" x14ac:dyDescent="0.25">
      <c r="A24" s="5" t="s">
        <v>17</v>
      </c>
      <c r="B24" s="4">
        <v>119.25475</v>
      </c>
    </row>
    <row r="25" spans="1:2" x14ac:dyDescent="0.25">
      <c r="A25" s="5" t="s">
        <v>36</v>
      </c>
      <c r="B25" s="4">
        <v>3204.9590600000001</v>
      </c>
    </row>
    <row r="26" spans="1:2" x14ac:dyDescent="0.25">
      <c r="A26" s="5" t="s">
        <v>20</v>
      </c>
      <c r="B26" s="4">
        <v>121.0363</v>
      </c>
    </row>
    <row r="27" spans="1:2" x14ac:dyDescent="0.25">
      <c r="A27" s="5" t="s">
        <v>11</v>
      </c>
      <c r="B27" s="4">
        <v>41.228580000000001</v>
      </c>
    </row>
    <row r="28" spans="1:2" x14ac:dyDescent="0.25">
      <c r="A28" s="5" t="s">
        <v>33</v>
      </c>
      <c r="B28" s="4">
        <v>1696.7428799999998</v>
      </c>
    </row>
    <row r="29" spans="1:2" x14ac:dyDescent="0.25">
      <c r="A29" s="3" t="s">
        <v>15</v>
      </c>
      <c r="B29" s="4">
        <v>24845.20708</v>
      </c>
    </row>
    <row r="30" spans="1:2" x14ac:dyDescent="0.25">
      <c r="A30" s="5" t="s">
        <v>26</v>
      </c>
      <c r="B30" s="4">
        <v>423.22843999999998</v>
      </c>
    </row>
    <row r="31" spans="1:2" x14ac:dyDescent="0.25">
      <c r="A31" s="5" t="s">
        <v>27</v>
      </c>
      <c r="B31" s="4">
        <v>577.40906000000007</v>
      </c>
    </row>
    <row r="32" spans="1:2" x14ac:dyDescent="0.25">
      <c r="A32" s="5" t="s">
        <v>35</v>
      </c>
      <c r="B32" s="4">
        <v>2757.0496499999999</v>
      </c>
    </row>
    <row r="33" spans="1:2" x14ac:dyDescent="0.25">
      <c r="A33" s="5" t="s">
        <v>34</v>
      </c>
      <c r="B33" s="4">
        <v>2477.2611400000001</v>
      </c>
    </row>
    <row r="34" spans="1:2" x14ac:dyDescent="0.25">
      <c r="A34" s="5" t="s">
        <v>32</v>
      </c>
      <c r="B34" s="4">
        <v>1364.70975</v>
      </c>
    </row>
    <row r="35" spans="1:2" x14ac:dyDescent="0.25">
      <c r="A35" s="5" t="s">
        <v>39</v>
      </c>
      <c r="B35" s="4">
        <v>16792.800800000001</v>
      </c>
    </row>
    <row r="36" spans="1:2" x14ac:dyDescent="0.25">
      <c r="A36" s="5" t="s">
        <v>16</v>
      </c>
      <c r="B36" s="4">
        <v>117.65744000000001</v>
      </c>
    </row>
    <row r="37" spans="1:2" x14ac:dyDescent="0.25">
      <c r="A37" s="5" t="s">
        <v>25</v>
      </c>
      <c r="B37" s="4">
        <v>335.0908</v>
      </c>
    </row>
    <row r="38" spans="1:2" x14ac:dyDescent="0.25">
      <c r="A38" s="3" t="s">
        <v>40</v>
      </c>
      <c r="B38" s="4">
        <v>38025.489069999996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F19865-3DB5-4F4C-8CEF-DD3D47C2F8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a-que-se-destina-el-gasto</vt:lpstr>
      <vt:lpstr>Gráfico - Finalidad</vt:lpstr>
      <vt:lpstr>Gráfico - Función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Armando Acuña</cp:lastModifiedBy>
  <dcterms:created xsi:type="dcterms:W3CDTF">2015-06-05T18:19:34Z</dcterms:created>
  <dcterms:modified xsi:type="dcterms:W3CDTF">2024-10-20T20:06:25Z</dcterms:modified>
</cp:coreProperties>
</file>