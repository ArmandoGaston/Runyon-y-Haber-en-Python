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549CD1C8-F0D9-492C-8AED-BBCD5612AD2A}" xr6:coauthVersionLast="47" xr6:coauthVersionMax="47" xr10:uidLastSave="{00000000-0000-0000-0000-000000000000}"/>
  <bookViews>
    <workbookView xWindow="10605" yWindow="90" windowWidth="10965" windowHeight="10530" firstSheet="1" activeTab="2" xr2:uid="{7DFF54C6-F39D-4192-8151-90ACEF32793F}"/>
  </bookViews>
  <sheets>
    <sheet name="Ejercicio 2" sheetId="1" r:id="rId1"/>
    <sheet name="Ejercicio 6" sheetId="2" r:id="rId2"/>
    <sheet name="Ejercicio 1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4" l="1"/>
  <c r="B50" i="4" s="1"/>
  <c r="F13" i="4"/>
  <c r="B49" i="4" s="1"/>
  <c r="C13" i="4"/>
  <c r="B48" i="4" s="1"/>
  <c r="B22" i="4"/>
  <c r="C22" i="4"/>
  <c r="D22" i="4"/>
  <c r="E22" i="4"/>
  <c r="F22" i="4"/>
  <c r="G22" i="4"/>
  <c r="H22" i="4"/>
  <c r="I22" i="4"/>
  <c r="J22" i="4"/>
  <c r="B18" i="4"/>
  <c r="C18" i="4"/>
  <c r="D18" i="4"/>
  <c r="E18" i="4"/>
  <c r="F18" i="4"/>
  <c r="G18" i="4"/>
  <c r="H18" i="4"/>
  <c r="I18" i="4"/>
  <c r="J18" i="4"/>
  <c r="B19" i="4"/>
  <c r="C19" i="4"/>
  <c r="D19" i="4"/>
  <c r="E19" i="4"/>
  <c r="F19" i="4"/>
  <c r="G19" i="4"/>
  <c r="H19" i="4"/>
  <c r="I19" i="4"/>
  <c r="J19" i="4"/>
  <c r="B20" i="4"/>
  <c r="C20" i="4"/>
  <c r="D20" i="4"/>
  <c r="E20" i="4"/>
  <c r="F20" i="4"/>
  <c r="G20" i="4"/>
  <c r="H20" i="4"/>
  <c r="I20" i="4"/>
  <c r="J20" i="4"/>
  <c r="B21" i="4"/>
  <c r="C21" i="4"/>
  <c r="D21" i="4"/>
  <c r="E21" i="4"/>
  <c r="F21" i="4"/>
  <c r="G21" i="4"/>
  <c r="H21" i="4"/>
  <c r="I21" i="4"/>
  <c r="J21" i="4"/>
  <c r="C17" i="4"/>
  <c r="D17" i="4"/>
  <c r="E17" i="4"/>
  <c r="F17" i="4"/>
  <c r="G17" i="4"/>
  <c r="H17" i="4"/>
  <c r="I17" i="4"/>
  <c r="J17" i="4"/>
  <c r="B17" i="4"/>
  <c r="B15" i="4"/>
  <c r="I12" i="4"/>
  <c r="B43" i="4" s="1"/>
  <c r="F12" i="4"/>
  <c r="B42" i="4" s="1"/>
  <c r="C12" i="4"/>
  <c r="B41" i="4" s="1"/>
  <c r="C10" i="4"/>
  <c r="B30" i="4" s="1"/>
  <c r="D10" i="4"/>
  <c r="B31" i="4" s="1"/>
  <c r="E10" i="4"/>
  <c r="B32" i="4" s="1"/>
  <c r="F10" i="4"/>
  <c r="B33" i="4" s="1"/>
  <c r="G10" i="4"/>
  <c r="B34" i="4" s="1"/>
  <c r="H10" i="4"/>
  <c r="B35" i="4" s="1"/>
  <c r="I10" i="4"/>
  <c r="B36" i="4" s="1"/>
  <c r="J10" i="4"/>
  <c r="B37" i="4" s="1"/>
  <c r="B10" i="4"/>
  <c r="B29" i="4" s="1"/>
  <c r="B44" i="4" l="1"/>
  <c r="B45" i="4" s="1"/>
  <c r="B51" i="4"/>
  <c r="B52" i="4" s="1"/>
  <c r="B23" i="4"/>
  <c r="B26" i="4" s="1"/>
  <c r="B38" i="4"/>
  <c r="B54" i="4" s="1"/>
  <c r="B56" i="4" l="1"/>
  <c r="B57" i="4" s="1"/>
  <c r="B59" i="4" s="1"/>
  <c r="B61" i="4" l="1"/>
  <c r="B60" i="4"/>
  <c r="C19" i="2"/>
  <c r="C20" i="2"/>
  <c r="C18" i="2"/>
  <c r="B20" i="2"/>
  <c r="B19" i="2"/>
  <c r="B18" i="2"/>
  <c r="D7" i="2" l="1"/>
  <c r="C7" i="2"/>
  <c r="B7" i="2"/>
  <c r="C19" i="1"/>
  <c r="C20" i="1"/>
  <c r="C21" i="1"/>
  <c r="C22" i="1"/>
  <c r="C23" i="1"/>
  <c r="C18" i="1"/>
  <c r="B19" i="1"/>
  <c r="C12" i="1"/>
  <c r="B22" i="1" s="1"/>
  <c r="D12" i="1"/>
  <c r="B23" i="1" s="1"/>
  <c r="E12" i="1"/>
  <c r="B12" i="1"/>
  <c r="B20" i="1" s="1"/>
  <c r="B18" i="1" l="1"/>
  <c r="B21" i="1"/>
</calcChain>
</file>

<file path=xl/sharedStrings.xml><?xml version="1.0" encoding="utf-8"?>
<sst xmlns="http://schemas.openxmlformats.org/spreadsheetml/2006/main" count="118" uniqueCount="79">
  <si>
    <t>INVIERNO</t>
  </si>
  <si>
    <t>PRIMAVERA</t>
  </si>
  <si>
    <t>VERANO</t>
  </si>
  <si>
    <t>OTOÑO</t>
  </si>
  <si>
    <t>Análisis de varianza de un factor</t>
  </si>
  <si>
    <t>RESUMEN</t>
  </si>
  <si>
    <t>Grupos</t>
  </si>
  <si>
    <t>Cuenta</t>
  </si>
  <si>
    <t>Suma</t>
  </si>
  <si>
    <t>Promedio</t>
  </si>
  <si>
    <t>Varianza</t>
  </si>
  <si>
    <t>ANÁLISIS DE VARIANZA</t>
  </si>
  <si>
    <t>Origen de las variaciones</t>
  </si>
  <si>
    <t>F</t>
  </si>
  <si>
    <t>Probabilidad</t>
  </si>
  <si>
    <t>Entre grupos</t>
  </si>
  <si>
    <t>Dentro de los grupos</t>
  </si>
  <si>
    <t>Total</t>
  </si>
  <si>
    <t>Prueba de Tukey</t>
  </si>
  <si>
    <t>Invierno - Primavera</t>
  </si>
  <si>
    <t>Invierno - Verano</t>
  </si>
  <si>
    <t>Invierno - Otoño</t>
  </si>
  <si>
    <t>Primavera - Verano</t>
  </si>
  <si>
    <t>Primavera - Otoño</t>
  </si>
  <si>
    <t>Verano - Otoño</t>
  </si>
  <si>
    <t>Medias</t>
  </si>
  <si>
    <t>Módulos de 
diferencias</t>
  </si>
  <si>
    <t>Suma de 
cuadrados</t>
  </si>
  <si>
    <t>Grados de 
libertad</t>
  </si>
  <si>
    <t>Promedio de 
los cuadrados</t>
  </si>
  <si>
    <t>Valor crítico 
para F</t>
  </si>
  <si>
    <t>DHS</t>
  </si>
  <si>
    <t>MARCA A</t>
  </si>
  <si>
    <t>MARCA B</t>
  </si>
  <si>
    <t>MARCA C</t>
  </si>
  <si>
    <t>Valor crítico para F</t>
  </si>
  <si>
    <t>Grados de
 libertad</t>
  </si>
  <si>
    <t>A -B</t>
  </si>
  <si>
    <t>A - C</t>
  </si>
  <si>
    <t>B - C</t>
  </si>
  <si>
    <t>A1</t>
  </si>
  <si>
    <t>B1</t>
  </si>
  <si>
    <t>B2</t>
  </si>
  <si>
    <t>B3</t>
  </si>
  <si>
    <t>A2</t>
  </si>
  <si>
    <t>A3</t>
  </si>
  <si>
    <t>SUMA GRUPOS</t>
  </si>
  <si>
    <t>SUMA A</t>
  </si>
  <si>
    <t>SUMA TOTAL</t>
  </si>
  <si>
    <t>SUMA DE CUADRADOS
 ENTRE GRUPOS</t>
  </si>
  <si>
    <t>SUMA DE CUADRADOS 
TOTAL</t>
  </si>
  <si>
    <t>SUMA DE CUADRADOS 
PARA LA VARIABLE A</t>
  </si>
  <si>
    <t>SUMA DE CUADRADOS
PARA LA VARIABLE B</t>
  </si>
  <si>
    <t>SUMA B</t>
  </si>
  <si>
    <t>SUMA DE CUADRADOS
DE INTERACCIÓN A*B</t>
  </si>
  <si>
    <t>VARIANZA A</t>
  </si>
  <si>
    <t>VARIANZA B</t>
  </si>
  <si>
    <t>SUMA DE CUADRADOS
WITHIN (RESIDUAL)</t>
  </si>
  <si>
    <t>F de A</t>
  </si>
  <si>
    <t>F de B</t>
  </si>
  <si>
    <t>F de A*B</t>
  </si>
  <si>
    <t>VARIANZA WITHIN</t>
  </si>
  <si>
    <t>CUADRADO DE CADA
DATO</t>
  </si>
  <si>
    <t>SUMA DEL CUADRADO
DE CADA DATO</t>
  </si>
  <si>
    <t>A1B1 ^ 2</t>
  </si>
  <si>
    <t>A1B2 ^ 2</t>
  </si>
  <si>
    <t>A1B3 ^ 2</t>
  </si>
  <si>
    <t>A2B1 ^ 2</t>
  </si>
  <si>
    <t>A2B2 ^ 2</t>
  </si>
  <si>
    <t>A2B3 ^ 2</t>
  </si>
  <si>
    <t>A3B1 ^ 2</t>
  </si>
  <si>
    <t>A3B2 ^ 2</t>
  </si>
  <si>
    <t>A3B3 ^ 2</t>
  </si>
  <si>
    <t>A1 ^ 2</t>
  </si>
  <si>
    <t>A2 ^ 2</t>
  </si>
  <si>
    <t>A3 ^ 2</t>
  </si>
  <si>
    <t>B1 ^ 2</t>
  </si>
  <si>
    <t>B2 ^ 2</t>
  </si>
  <si>
    <t>B3 ^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</si>
</sst>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 applyAlignment="1">
      <alignment wrapText="1"/>
    </xf>
    <xf numFmtId="0" fontId="0" fillId="0" borderId="21" xfId="0" applyBorder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E119-4B32-49E9-AF9E-72B8C3F2B45B}">
  <dimension ref="A1:M31"/>
  <sheetViews>
    <sheetView topLeftCell="A13" zoomScaleNormal="100" workbookViewId="0">
      <selection activeCell="A16" sqref="A16:C23"/>
    </sheetView>
  </sheetViews>
  <sheetFormatPr baseColWidth="10" defaultRowHeight="15" x14ac:dyDescent="0.25"/>
  <cols>
    <col min="1" max="1" width="20.140625" customWidth="1"/>
    <col min="2" max="2" width="14" customWidth="1"/>
    <col min="3" max="3" width="16" customWidth="1"/>
    <col min="4" max="4" width="14.140625" customWidth="1"/>
    <col min="5" max="5" width="17.28515625" customWidth="1"/>
    <col min="7" max="7" width="30.42578125" customWidth="1"/>
    <col min="8" max="8" width="15.85546875" customWidth="1"/>
    <col min="9" max="9" width="14.7109375" customWidth="1"/>
    <col min="10" max="10" width="18" customWidth="1"/>
    <col min="12" max="12" width="14.42578125" customWidth="1"/>
    <col min="13" max="13" width="15" customWidth="1"/>
  </cols>
  <sheetData>
    <row r="1" spans="1:13" x14ac:dyDescent="0.25">
      <c r="B1" s="4" t="s">
        <v>0</v>
      </c>
      <c r="C1" s="4" t="s">
        <v>1</v>
      </c>
      <c r="D1" s="4" t="s">
        <v>2</v>
      </c>
      <c r="E1" s="4" t="s">
        <v>3</v>
      </c>
      <c r="G1" t="s">
        <v>4</v>
      </c>
    </row>
    <row r="2" spans="1:13" x14ac:dyDescent="0.25">
      <c r="B2" s="4">
        <v>9.8000000000000007</v>
      </c>
      <c r="C2" s="4">
        <v>9</v>
      </c>
      <c r="D2" s="4">
        <v>8.8000000000000007</v>
      </c>
      <c r="E2" s="4">
        <v>9.4</v>
      </c>
    </row>
    <row r="3" spans="1:13" ht="15.75" thickBot="1" x14ac:dyDescent="0.3">
      <c r="B3" s="4">
        <v>9.9</v>
      </c>
      <c r="C3" s="4">
        <v>9.3000000000000007</v>
      </c>
      <c r="D3" s="4">
        <v>8.6999999999999993</v>
      </c>
      <c r="E3" s="4">
        <v>9.4</v>
      </c>
      <c r="G3" t="s">
        <v>5</v>
      </c>
    </row>
    <row r="4" spans="1:13" x14ac:dyDescent="0.25">
      <c r="B4" s="4">
        <v>9.8000000000000007</v>
      </c>
      <c r="C4" s="4">
        <v>9.3000000000000007</v>
      </c>
      <c r="D4" s="4">
        <v>8.8000000000000007</v>
      </c>
      <c r="E4" s="4">
        <v>10.3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3" x14ac:dyDescent="0.25">
      <c r="B5" s="4">
        <v>10.6</v>
      </c>
      <c r="C5" s="4">
        <v>9.1999999999999993</v>
      </c>
      <c r="D5" s="4">
        <v>8.6</v>
      </c>
      <c r="E5" s="4">
        <v>9.8000000000000007</v>
      </c>
      <c r="G5" s="1" t="s">
        <v>0</v>
      </c>
      <c r="H5" s="1">
        <v>10</v>
      </c>
      <c r="I5" s="1">
        <v>101.50000000000001</v>
      </c>
      <c r="J5" s="1">
        <v>10.150000000000002</v>
      </c>
      <c r="K5" s="1">
        <v>0.18499999999999986</v>
      </c>
    </row>
    <row r="6" spans="1:13" x14ac:dyDescent="0.25">
      <c r="B6" s="4">
        <v>9.9</v>
      </c>
      <c r="C6" s="4">
        <v>9.4</v>
      </c>
      <c r="D6" s="4">
        <v>8.6999999999999993</v>
      </c>
      <c r="E6" s="4">
        <v>9.4</v>
      </c>
      <c r="G6" s="1" t="s">
        <v>1</v>
      </c>
      <c r="H6" s="1">
        <v>10</v>
      </c>
      <c r="I6" s="1">
        <v>92</v>
      </c>
      <c r="J6" s="1">
        <v>9.1999999999999993</v>
      </c>
      <c r="K6" s="1">
        <v>2.4444444444444508E-2</v>
      </c>
    </row>
    <row r="7" spans="1:13" x14ac:dyDescent="0.25">
      <c r="B7" s="4">
        <v>10.7</v>
      </c>
      <c r="C7" s="4">
        <v>9.1</v>
      </c>
      <c r="D7" s="4">
        <v>8.3000000000000007</v>
      </c>
      <c r="E7" s="4">
        <v>9.6</v>
      </c>
      <c r="G7" s="1" t="s">
        <v>2</v>
      </c>
      <c r="H7" s="1">
        <v>10</v>
      </c>
      <c r="I7" s="1">
        <v>87.1</v>
      </c>
      <c r="J7" s="1">
        <v>8.7099999999999991</v>
      </c>
      <c r="K7" s="1">
        <v>2.7666666666666687E-2</v>
      </c>
    </row>
    <row r="8" spans="1:13" ht="15.75" thickBot="1" x14ac:dyDescent="0.3">
      <c r="B8" s="4">
        <v>9.6999999999999993</v>
      </c>
      <c r="C8" s="4">
        <v>9.1999999999999993</v>
      </c>
      <c r="D8" s="4">
        <v>8.8000000000000007</v>
      </c>
      <c r="E8" s="4">
        <v>9.5</v>
      </c>
      <c r="G8" s="2" t="s">
        <v>3</v>
      </c>
      <c r="H8" s="2">
        <v>10</v>
      </c>
      <c r="I8" s="2">
        <v>95.9</v>
      </c>
      <c r="J8" s="2">
        <v>9.59</v>
      </c>
      <c r="K8" s="2">
        <v>7.8777777777777863E-2</v>
      </c>
    </row>
    <row r="9" spans="1:13" x14ac:dyDescent="0.25">
      <c r="B9" s="4">
        <v>10.199999999999999</v>
      </c>
      <c r="C9" s="4">
        <v>8.9</v>
      </c>
      <c r="D9" s="4">
        <v>8.8000000000000007</v>
      </c>
      <c r="E9" s="4">
        <v>9.6</v>
      </c>
    </row>
    <row r="10" spans="1:13" x14ac:dyDescent="0.25">
      <c r="B10" s="4">
        <v>10.9</v>
      </c>
      <c r="C10" s="4">
        <v>9.3000000000000007</v>
      </c>
      <c r="D10" s="4">
        <v>8.6999999999999993</v>
      </c>
      <c r="E10" s="4">
        <v>9.5</v>
      </c>
    </row>
    <row r="11" spans="1:13" ht="15.75" thickBot="1" x14ac:dyDescent="0.3">
      <c r="B11" s="7">
        <v>10</v>
      </c>
      <c r="C11" s="7">
        <v>9.3000000000000007</v>
      </c>
      <c r="D11" s="7">
        <v>8.9</v>
      </c>
      <c r="E11" s="7">
        <v>9.4</v>
      </c>
      <c r="G11" t="s">
        <v>11</v>
      </c>
    </row>
    <row r="12" spans="1:13" ht="30.75" thickBot="1" x14ac:dyDescent="0.3">
      <c r="A12" s="8" t="s">
        <v>25</v>
      </c>
      <c r="B12" s="9">
        <f>AVERAGE(B2:B11)</f>
        <v>10.150000000000002</v>
      </c>
      <c r="C12" s="10">
        <f>AVERAGE(C2:C11)</f>
        <v>9.1999999999999993</v>
      </c>
      <c r="D12" s="10">
        <f>AVERAGE(D2:D11)</f>
        <v>8.7099999999999991</v>
      </c>
      <c r="E12" s="11">
        <f>AVERAGE(E2:E11)</f>
        <v>9.59</v>
      </c>
      <c r="G12" s="3" t="s">
        <v>12</v>
      </c>
      <c r="H12" s="15" t="s">
        <v>27</v>
      </c>
      <c r="I12" s="15" t="s">
        <v>28</v>
      </c>
      <c r="J12" s="15" t="s">
        <v>29</v>
      </c>
      <c r="K12" s="3" t="s">
        <v>13</v>
      </c>
      <c r="L12" s="3" t="s">
        <v>14</v>
      </c>
      <c r="M12" s="15" t="s">
        <v>30</v>
      </c>
    </row>
    <row r="13" spans="1:13" x14ac:dyDescent="0.25">
      <c r="G13" s="1" t="s">
        <v>15</v>
      </c>
      <c r="H13" s="1">
        <v>11.140749999999999</v>
      </c>
      <c r="I13" s="1">
        <v>3</v>
      </c>
      <c r="J13" s="1">
        <v>3.7135833333333328</v>
      </c>
      <c r="K13" s="1">
        <v>47.023918396060495</v>
      </c>
      <c r="L13" s="1">
        <v>1.5462037976581547E-12</v>
      </c>
      <c r="M13" s="1">
        <v>4.3770956208011764</v>
      </c>
    </row>
    <row r="14" spans="1:13" x14ac:dyDescent="0.25">
      <c r="G14" s="1" t="s">
        <v>16</v>
      </c>
      <c r="H14" s="1">
        <v>2.843</v>
      </c>
      <c r="I14" s="1">
        <v>36</v>
      </c>
      <c r="J14" s="1">
        <v>7.8972222222222221E-2</v>
      </c>
      <c r="K14" s="1"/>
      <c r="L14" s="1"/>
      <c r="M14" s="1"/>
    </row>
    <row r="15" spans="1:13" ht="15.75" thickBot="1" x14ac:dyDescent="0.3">
      <c r="G15" s="1"/>
      <c r="H15" s="1"/>
      <c r="I15" s="1"/>
      <c r="J15" s="1"/>
      <c r="K15" s="1"/>
      <c r="L15" s="1"/>
      <c r="M15" s="1"/>
    </row>
    <row r="16" spans="1:13" ht="15.75" thickBot="1" x14ac:dyDescent="0.3">
      <c r="A16" s="14" t="s">
        <v>18</v>
      </c>
      <c r="G16" s="2" t="s">
        <v>17</v>
      </c>
      <c r="H16" s="2">
        <v>13.983749999999999</v>
      </c>
      <c r="I16" s="2">
        <v>39</v>
      </c>
      <c r="J16" s="2"/>
      <c r="K16" s="2"/>
      <c r="L16" s="2"/>
      <c r="M16" s="2"/>
    </row>
    <row r="17" spans="1:8" ht="30.75" thickBot="1" x14ac:dyDescent="0.3">
      <c r="A17" s="6"/>
      <c r="B17" s="16" t="s">
        <v>26</v>
      </c>
      <c r="C17" s="17" t="s">
        <v>31</v>
      </c>
    </row>
    <row r="18" spans="1:8" x14ac:dyDescent="0.25">
      <c r="A18" s="5" t="s">
        <v>19</v>
      </c>
      <c r="B18" s="5">
        <f>ABS(B12-C12)</f>
        <v>0.95000000000000284</v>
      </c>
      <c r="C18" s="5">
        <f>ROUND(4.72*(SQRT(J$14/10)),2)</f>
        <v>0.42</v>
      </c>
    </row>
    <row r="19" spans="1:8" x14ac:dyDescent="0.25">
      <c r="A19" s="4" t="s">
        <v>20</v>
      </c>
      <c r="B19" s="4">
        <f>ABS(B12-D12)</f>
        <v>1.4400000000000031</v>
      </c>
      <c r="C19" s="5">
        <f t="shared" ref="C19:C23" si="0">ROUND(4.72*(SQRT(J$14/10)),2)</f>
        <v>0.42</v>
      </c>
    </row>
    <row r="20" spans="1:8" x14ac:dyDescent="0.25">
      <c r="A20" s="4" t="s">
        <v>21</v>
      </c>
      <c r="B20" s="4">
        <f>ABS(B12-E12)</f>
        <v>0.56000000000000227</v>
      </c>
      <c r="C20" s="5">
        <f t="shared" si="0"/>
        <v>0.42</v>
      </c>
    </row>
    <row r="21" spans="1:8" x14ac:dyDescent="0.25">
      <c r="A21" s="4" t="s">
        <v>22</v>
      </c>
      <c r="B21" s="4">
        <f>ABS(C12-D12)</f>
        <v>0.49000000000000021</v>
      </c>
      <c r="C21" s="5">
        <f t="shared" si="0"/>
        <v>0.42</v>
      </c>
    </row>
    <row r="22" spans="1:8" x14ac:dyDescent="0.25">
      <c r="A22" s="4" t="s">
        <v>23</v>
      </c>
      <c r="B22" s="4">
        <f>ABS(C12-E12)</f>
        <v>0.39000000000000057</v>
      </c>
      <c r="C22" s="5">
        <f t="shared" si="0"/>
        <v>0.42</v>
      </c>
    </row>
    <row r="23" spans="1:8" x14ac:dyDescent="0.25">
      <c r="A23" s="4" t="s">
        <v>24</v>
      </c>
      <c r="B23" s="4">
        <f>ABS(D12-E12)</f>
        <v>0.88000000000000078</v>
      </c>
      <c r="C23" s="5">
        <f t="shared" si="0"/>
        <v>0.42</v>
      </c>
    </row>
    <row r="25" spans="1:8" x14ac:dyDescent="0.25">
      <c r="A25" s="12"/>
      <c r="B25" s="12"/>
      <c r="C25" s="12"/>
      <c r="D25" s="12"/>
      <c r="E25" s="12"/>
      <c r="F25" s="12"/>
      <c r="G25" s="12"/>
      <c r="H25" s="12"/>
    </row>
    <row r="26" spans="1:8" x14ac:dyDescent="0.25">
      <c r="A26" s="12"/>
      <c r="B26" s="13"/>
      <c r="C26" s="13"/>
      <c r="D26" s="13"/>
      <c r="E26" s="13"/>
      <c r="F26" s="13"/>
      <c r="G26" s="13"/>
      <c r="H26" s="13"/>
    </row>
    <row r="27" spans="1:8" x14ac:dyDescent="0.25">
      <c r="A27" s="12"/>
      <c r="B27" s="1"/>
      <c r="C27" s="1"/>
      <c r="D27" s="1"/>
      <c r="E27" s="1"/>
      <c r="F27" s="1"/>
      <c r="G27" s="1"/>
      <c r="H27" s="1"/>
    </row>
    <row r="28" spans="1:8" x14ac:dyDescent="0.25">
      <c r="A28" s="12"/>
      <c r="B28" s="1"/>
      <c r="C28" s="1"/>
      <c r="D28" s="1"/>
      <c r="E28" s="1"/>
      <c r="F28" s="1"/>
      <c r="G28" s="1"/>
      <c r="H28" s="1"/>
    </row>
    <row r="29" spans="1:8" x14ac:dyDescent="0.25">
      <c r="A29" s="12"/>
      <c r="B29" s="1"/>
      <c r="C29" s="1"/>
      <c r="D29" s="1"/>
      <c r="E29" s="1"/>
      <c r="F29" s="1"/>
      <c r="G29" s="1"/>
      <c r="H29" s="1"/>
    </row>
    <row r="30" spans="1:8" x14ac:dyDescent="0.25">
      <c r="A30" s="12"/>
      <c r="B30" s="1"/>
      <c r="C30" s="1"/>
      <c r="D30" s="1"/>
      <c r="E30" s="1"/>
      <c r="F30" s="1"/>
      <c r="G30" s="1"/>
      <c r="H30" s="1"/>
    </row>
    <row r="31" spans="1:8" x14ac:dyDescent="0.25"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D839-29C0-4E0E-8F3C-9B0451A57952}">
  <dimension ref="A1:L20"/>
  <sheetViews>
    <sheetView workbookViewId="0">
      <selection activeCell="D19" sqref="D19"/>
    </sheetView>
  </sheetViews>
  <sheetFormatPr baseColWidth="10" defaultRowHeight="15" x14ac:dyDescent="0.25"/>
  <cols>
    <col min="1" max="1" width="21" customWidth="1"/>
    <col min="6" max="6" width="30.42578125" customWidth="1"/>
    <col min="7" max="7" width="11.42578125" customWidth="1"/>
    <col min="9" max="9" width="18" customWidth="1"/>
    <col min="11" max="11" width="14.5703125" customWidth="1"/>
    <col min="12" max="12" width="18.140625" customWidth="1"/>
  </cols>
  <sheetData>
    <row r="1" spans="1:12" x14ac:dyDescent="0.25">
      <c r="B1" s="4" t="s">
        <v>32</v>
      </c>
      <c r="C1" s="4" t="s">
        <v>33</v>
      </c>
      <c r="D1" s="4" t="s">
        <v>34</v>
      </c>
      <c r="F1" t="s">
        <v>4</v>
      </c>
    </row>
    <row r="2" spans="1:12" x14ac:dyDescent="0.25">
      <c r="B2" s="4">
        <v>42</v>
      </c>
      <c r="C2" s="4">
        <v>52</v>
      </c>
      <c r="D2" s="4">
        <v>38</v>
      </c>
    </row>
    <row r="3" spans="1:12" ht="15.75" thickBot="1" x14ac:dyDescent="0.3">
      <c r="B3" s="4">
        <v>36</v>
      </c>
      <c r="C3" s="4">
        <v>48</v>
      </c>
      <c r="D3" s="4">
        <v>44</v>
      </c>
      <c r="F3" t="s">
        <v>5</v>
      </c>
    </row>
    <row r="4" spans="1:12" x14ac:dyDescent="0.25">
      <c r="B4" s="4">
        <v>47</v>
      </c>
      <c r="C4" s="4">
        <v>43</v>
      </c>
      <c r="D4" s="4">
        <v>33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2" x14ac:dyDescent="0.25">
      <c r="B5" s="4">
        <v>43</v>
      </c>
      <c r="C5" s="4">
        <v>49</v>
      </c>
      <c r="D5" s="4">
        <v>35</v>
      </c>
      <c r="F5" s="1" t="s">
        <v>32</v>
      </c>
      <c r="G5" s="1">
        <v>5</v>
      </c>
      <c r="H5" s="1">
        <v>206</v>
      </c>
      <c r="I5" s="1">
        <v>41.2</v>
      </c>
      <c r="J5" s="1">
        <v>18.700000000000003</v>
      </c>
    </row>
    <row r="6" spans="1:12" ht="15.75" thickBot="1" x14ac:dyDescent="0.3">
      <c r="B6" s="4">
        <v>38</v>
      </c>
      <c r="C6" s="4">
        <v>51</v>
      </c>
      <c r="D6" s="4">
        <v>32</v>
      </c>
      <c r="F6" s="1" t="s">
        <v>33</v>
      </c>
      <c r="G6" s="1">
        <v>5</v>
      </c>
      <c r="H6" s="1">
        <v>243</v>
      </c>
      <c r="I6" s="1">
        <v>48.6</v>
      </c>
      <c r="J6" s="1">
        <v>12.299999999999999</v>
      </c>
    </row>
    <row r="7" spans="1:12" ht="15.75" thickBot="1" x14ac:dyDescent="0.3">
      <c r="A7" s="8" t="s">
        <v>25</v>
      </c>
      <c r="B7" s="9">
        <f>AVERAGE(B2:B6)</f>
        <v>41.2</v>
      </c>
      <c r="C7" s="10">
        <f>AVERAGE(C2:C6)</f>
        <v>48.6</v>
      </c>
      <c r="D7" s="10">
        <f>AVERAGE(D2:D6)</f>
        <v>36.4</v>
      </c>
      <c r="F7" s="2" t="s">
        <v>34</v>
      </c>
      <c r="G7" s="2">
        <v>5</v>
      </c>
      <c r="H7" s="2">
        <v>182</v>
      </c>
      <c r="I7" s="2">
        <v>36.4</v>
      </c>
      <c r="J7" s="2">
        <v>23.299999999999955</v>
      </c>
    </row>
    <row r="10" spans="1:12" ht="15.75" thickBot="1" x14ac:dyDescent="0.3">
      <c r="F10" t="s">
        <v>11</v>
      </c>
    </row>
    <row r="11" spans="1:12" ht="30" x14ac:dyDescent="0.25">
      <c r="F11" s="3" t="s">
        <v>12</v>
      </c>
      <c r="G11" s="15" t="s">
        <v>27</v>
      </c>
      <c r="H11" s="15" t="s">
        <v>36</v>
      </c>
      <c r="I11" s="15" t="s">
        <v>29</v>
      </c>
      <c r="J11" s="3" t="s">
        <v>13</v>
      </c>
      <c r="K11" s="3" t="s">
        <v>14</v>
      </c>
      <c r="L11" s="3" t="s">
        <v>35</v>
      </c>
    </row>
    <row r="12" spans="1:12" x14ac:dyDescent="0.25">
      <c r="F12" s="1" t="s">
        <v>15</v>
      </c>
      <c r="G12" s="1">
        <v>377.73333333333329</v>
      </c>
      <c r="H12" s="1">
        <v>2</v>
      </c>
      <c r="I12" s="1">
        <v>188.86666666666665</v>
      </c>
      <c r="J12" s="1">
        <v>10.434622467771639</v>
      </c>
      <c r="K12" s="1">
        <v>2.3678223205132031E-3</v>
      </c>
      <c r="L12" s="1">
        <v>3.8852938346523942</v>
      </c>
    </row>
    <row r="13" spans="1:12" x14ac:dyDescent="0.25">
      <c r="F13" s="1" t="s">
        <v>16</v>
      </c>
      <c r="G13" s="1">
        <v>217.2</v>
      </c>
      <c r="H13" s="1">
        <v>12</v>
      </c>
      <c r="I13" s="1">
        <v>18.099999999999998</v>
      </c>
      <c r="J13" s="1"/>
      <c r="K13" s="1"/>
      <c r="L13" s="1"/>
    </row>
    <row r="14" spans="1:12" x14ac:dyDescent="0.25">
      <c r="F14" s="1"/>
      <c r="G14" s="1"/>
      <c r="H14" s="1"/>
      <c r="I14" s="1"/>
      <c r="J14" s="1"/>
      <c r="K14" s="1"/>
      <c r="L14" s="1"/>
    </row>
    <row r="15" spans="1:12" ht="15.75" thickBot="1" x14ac:dyDescent="0.3">
      <c r="F15" s="2" t="s">
        <v>17</v>
      </c>
      <c r="G15" s="2">
        <v>594.93333333333328</v>
      </c>
      <c r="H15" s="2">
        <v>14</v>
      </c>
      <c r="I15" s="2"/>
      <c r="J15" s="2"/>
      <c r="K15" s="2"/>
      <c r="L15" s="2"/>
    </row>
    <row r="16" spans="1:12" ht="15.75" thickBot="1" x14ac:dyDescent="0.3">
      <c r="A16" s="14" t="s">
        <v>18</v>
      </c>
    </row>
    <row r="17" spans="1:3" ht="45.75" thickBot="1" x14ac:dyDescent="0.3">
      <c r="A17" s="6"/>
      <c r="B17" s="16" t="s">
        <v>26</v>
      </c>
      <c r="C17" s="17" t="s">
        <v>31</v>
      </c>
    </row>
    <row r="18" spans="1:3" x14ac:dyDescent="0.25">
      <c r="A18" s="5" t="s">
        <v>37</v>
      </c>
      <c r="B18" s="5">
        <f>ABS(B7-C7)</f>
        <v>7.3999999999999986</v>
      </c>
      <c r="C18" s="5">
        <f>ROUND(3.77*(SQRT(I$13/5)),2)</f>
        <v>7.17</v>
      </c>
    </row>
    <row r="19" spans="1:3" x14ac:dyDescent="0.25">
      <c r="A19" s="4" t="s">
        <v>38</v>
      </c>
      <c r="B19" s="4">
        <f>ABS(B7-D7)</f>
        <v>4.8000000000000043</v>
      </c>
      <c r="C19" s="5">
        <f t="shared" ref="C19:C20" si="0">ROUND(3.77*(SQRT(I$13/5)),2)</f>
        <v>7.17</v>
      </c>
    </row>
    <row r="20" spans="1:3" x14ac:dyDescent="0.25">
      <c r="A20" s="4" t="s">
        <v>39</v>
      </c>
      <c r="B20" s="4">
        <f>ABS(C7-D7)</f>
        <v>12.200000000000003</v>
      </c>
      <c r="C20" s="5">
        <f t="shared" si="0"/>
        <v>7.17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0053-89CA-4C7A-8B8B-96AF90064A10}">
  <dimension ref="A1:J61"/>
  <sheetViews>
    <sheetView tabSelected="1" workbookViewId="0">
      <selection activeCell="D14" sqref="D14"/>
    </sheetView>
  </sheetViews>
  <sheetFormatPr baseColWidth="10" defaultRowHeight="15" x14ac:dyDescent="0.25"/>
  <cols>
    <col min="1" max="1" width="21.85546875" customWidth="1"/>
  </cols>
  <sheetData>
    <row r="1" spans="1:10" x14ac:dyDescent="0.25">
      <c r="B1" s="26"/>
      <c r="C1" s="27" t="s">
        <v>40</v>
      </c>
      <c r="D1" s="27"/>
      <c r="E1" s="27"/>
      <c r="F1" s="27" t="s">
        <v>44</v>
      </c>
      <c r="G1" s="27"/>
      <c r="H1" s="27"/>
      <c r="I1" s="27" t="s">
        <v>45</v>
      </c>
      <c r="J1" s="28"/>
    </row>
    <row r="2" spans="1:10" ht="15.75" thickBot="1" x14ac:dyDescent="0.3">
      <c r="B2" s="29" t="s">
        <v>41</v>
      </c>
      <c r="C2" s="30" t="s">
        <v>42</v>
      </c>
      <c r="D2" s="30" t="s">
        <v>43</v>
      </c>
      <c r="E2" s="30" t="s">
        <v>41</v>
      </c>
      <c r="F2" s="30" t="s">
        <v>42</v>
      </c>
      <c r="G2" s="30" t="s">
        <v>43</v>
      </c>
      <c r="H2" s="30" t="s">
        <v>41</v>
      </c>
      <c r="I2" s="30" t="s">
        <v>42</v>
      </c>
      <c r="J2" s="31" t="s">
        <v>43</v>
      </c>
    </row>
    <row r="3" spans="1:10" x14ac:dyDescent="0.25">
      <c r="B3" s="18">
        <v>8</v>
      </c>
      <c r="C3" s="19">
        <v>10</v>
      </c>
      <c r="D3" s="19">
        <v>12</v>
      </c>
      <c r="E3" s="19">
        <v>5</v>
      </c>
      <c r="F3" s="19">
        <v>9</v>
      </c>
      <c r="G3" s="19">
        <v>16</v>
      </c>
      <c r="H3" s="19">
        <v>6</v>
      </c>
      <c r="I3" s="19">
        <v>10</v>
      </c>
      <c r="J3" s="20">
        <v>17</v>
      </c>
    </row>
    <row r="4" spans="1:10" x14ac:dyDescent="0.25">
      <c r="B4" s="21">
        <v>1</v>
      </c>
      <c r="C4" s="4">
        <v>7</v>
      </c>
      <c r="D4" s="4">
        <v>9</v>
      </c>
      <c r="E4" s="4">
        <v>3</v>
      </c>
      <c r="F4" s="4">
        <v>10</v>
      </c>
      <c r="G4" s="4">
        <v>11</v>
      </c>
      <c r="H4" s="4">
        <v>5</v>
      </c>
      <c r="I4" s="4">
        <v>7</v>
      </c>
      <c r="J4" s="22">
        <v>9</v>
      </c>
    </row>
    <row r="5" spans="1:10" x14ac:dyDescent="0.25">
      <c r="B5" s="21">
        <v>7</v>
      </c>
      <c r="C5" s="4">
        <v>9</v>
      </c>
      <c r="D5" s="4">
        <v>11</v>
      </c>
      <c r="E5" s="4">
        <v>8</v>
      </c>
      <c r="F5" s="4">
        <v>10</v>
      </c>
      <c r="G5" s="4">
        <v>12</v>
      </c>
      <c r="H5" s="4">
        <v>4</v>
      </c>
      <c r="I5" s="4">
        <v>11</v>
      </c>
      <c r="J5" s="22">
        <v>12</v>
      </c>
    </row>
    <row r="6" spans="1:10" x14ac:dyDescent="0.25">
      <c r="B6" s="21">
        <v>9</v>
      </c>
      <c r="C6" s="4">
        <v>7</v>
      </c>
      <c r="D6" s="4">
        <v>5</v>
      </c>
      <c r="E6" s="4">
        <v>8</v>
      </c>
      <c r="F6" s="4">
        <v>6</v>
      </c>
      <c r="G6" s="4">
        <v>4</v>
      </c>
      <c r="H6" s="4">
        <v>10</v>
      </c>
      <c r="I6" s="4">
        <v>8</v>
      </c>
      <c r="J6" s="22">
        <v>6</v>
      </c>
    </row>
    <row r="7" spans="1:10" x14ac:dyDescent="0.25">
      <c r="B7" s="21">
        <v>4</v>
      </c>
      <c r="C7" s="4">
        <v>8</v>
      </c>
      <c r="D7" s="4">
        <v>15</v>
      </c>
      <c r="E7" s="4">
        <v>6</v>
      </c>
      <c r="F7" s="4">
        <v>8</v>
      </c>
      <c r="G7" s="4">
        <v>10</v>
      </c>
      <c r="H7" s="4">
        <v>8</v>
      </c>
      <c r="I7" s="4">
        <v>10</v>
      </c>
      <c r="J7" s="22">
        <v>12</v>
      </c>
    </row>
    <row r="8" spans="1:10" ht="15.75" thickBot="1" x14ac:dyDescent="0.3">
      <c r="B8" s="23">
        <v>12</v>
      </c>
      <c r="C8" s="24">
        <v>14</v>
      </c>
      <c r="D8" s="24">
        <v>15</v>
      </c>
      <c r="E8" s="24">
        <v>10</v>
      </c>
      <c r="F8" s="24">
        <v>12</v>
      </c>
      <c r="G8" s="24">
        <v>13</v>
      </c>
      <c r="H8" s="24">
        <v>13</v>
      </c>
      <c r="I8" s="24">
        <v>14</v>
      </c>
      <c r="J8" s="25">
        <v>14</v>
      </c>
    </row>
    <row r="10" spans="1:10" x14ac:dyDescent="0.25">
      <c r="A10" s="32" t="s">
        <v>46</v>
      </c>
      <c r="B10" s="4">
        <f>SUM(B3:B8)</f>
        <v>41</v>
      </c>
      <c r="C10" s="4">
        <f>SUM(C3:C8)</f>
        <v>55</v>
      </c>
      <c r="D10" s="4">
        <f>SUM(D3:D8)</f>
        <v>67</v>
      </c>
      <c r="E10" s="4">
        <f>SUM(E3:E8)</f>
        <v>40</v>
      </c>
      <c r="F10" s="4">
        <f>SUM(F3:F8)</f>
        <v>55</v>
      </c>
      <c r="G10" s="4">
        <f>SUM(G3:G8)</f>
        <v>66</v>
      </c>
      <c r="H10" s="4">
        <f>SUM(H3:H8)</f>
        <v>46</v>
      </c>
      <c r="I10" s="4">
        <f>SUM(I3:I8)</f>
        <v>60</v>
      </c>
      <c r="J10" s="4">
        <f>SUM(J3:J8)</f>
        <v>70</v>
      </c>
    </row>
    <row r="12" spans="1:10" x14ac:dyDescent="0.25">
      <c r="A12" s="32" t="s">
        <v>47</v>
      </c>
      <c r="B12" s="33" t="s">
        <v>40</v>
      </c>
      <c r="C12" s="4">
        <f>SUM(B3:D8)</f>
        <v>163</v>
      </c>
      <c r="E12" s="33" t="s">
        <v>44</v>
      </c>
      <c r="F12" s="4">
        <f>SUM(E3:G8)</f>
        <v>161</v>
      </c>
      <c r="H12" s="33" t="s">
        <v>45</v>
      </c>
      <c r="I12" s="4">
        <f>SUM(H3:J8)</f>
        <v>176</v>
      </c>
    </row>
    <row r="13" spans="1:10" x14ac:dyDescent="0.25">
      <c r="A13" s="32" t="s">
        <v>53</v>
      </c>
      <c r="B13" s="33" t="s">
        <v>41</v>
      </c>
      <c r="C13" s="4">
        <f>SUM(B3:B8)+SUM(E3:E8)+SUM(H3:H8)</f>
        <v>127</v>
      </c>
      <c r="E13" s="33" t="s">
        <v>42</v>
      </c>
      <c r="F13" s="4">
        <f>SUM(C3:C8)+SUM(F3:F8)+SUM(I3:I8)</f>
        <v>170</v>
      </c>
      <c r="H13" s="33" t="s">
        <v>43</v>
      </c>
      <c r="I13" s="4">
        <f>SUM(D3:D8)+SUM(G3:G8)+SUM(J3:J8)</f>
        <v>203</v>
      </c>
    </row>
    <row r="14" spans="1:10" s="12" customFormat="1" x14ac:dyDescent="0.25">
      <c r="A14" s="35"/>
      <c r="B14" s="34"/>
      <c r="E14" s="34"/>
      <c r="H14" s="34"/>
    </row>
    <row r="15" spans="1:10" x14ac:dyDescent="0.25">
      <c r="A15" s="32" t="s">
        <v>48</v>
      </c>
      <c r="B15" s="4">
        <f>SUM(B3:J8)</f>
        <v>500</v>
      </c>
    </row>
    <row r="16" spans="1:10" ht="15.75" thickBot="1" x14ac:dyDescent="0.3"/>
    <row r="17" spans="1:10" ht="30.75" thickBot="1" x14ac:dyDescent="0.3">
      <c r="A17" s="36" t="s">
        <v>62</v>
      </c>
      <c r="B17" s="18">
        <f>B3*B3</f>
        <v>64</v>
      </c>
      <c r="C17" s="19">
        <f t="shared" ref="C17:J17" si="0">C3*C3</f>
        <v>100</v>
      </c>
      <c r="D17" s="19">
        <f t="shared" si="0"/>
        <v>144</v>
      </c>
      <c r="E17" s="19">
        <f t="shared" si="0"/>
        <v>25</v>
      </c>
      <c r="F17" s="19">
        <f t="shared" si="0"/>
        <v>81</v>
      </c>
      <c r="G17" s="19">
        <f t="shared" si="0"/>
        <v>256</v>
      </c>
      <c r="H17" s="19">
        <f t="shared" si="0"/>
        <v>36</v>
      </c>
      <c r="I17" s="19">
        <f t="shared" si="0"/>
        <v>100</v>
      </c>
      <c r="J17" s="20">
        <f t="shared" si="0"/>
        <v>289</v>
      </c>
    </row>
    <row r="18" spans="1:10" x14ac:dyDescent="0.25">
      <c r="B18" s="21">
        <f t="shared" ref="B18:J18" si="1">B4*B4</f>
        <v>1</v>
      </c>
      <c r="C18" s="4">
        <f t="shared" si="1"/>
        <v>49</v>
      </c>
      <c r="D18" s="4">
        <f t="shared" si="1"/>
        <v>81</v>
      </c>
      <c r="E18" s="4">
        <f t="shared" si="1"/>
        <v>9</v>
      </c>
      <c r="F18" s="4">
        <f t="shared" si="1"/>
        <v>100</v>
      </c>
      <c r="G18" s="4">
        <f t="shared" si="1"/>
        <v>121</v>
      </c>
      <c r="H18" s="4">
        <f t="shared" si="1"/>
        <v>25</v>
      </c>
      <c r="I18" s="4">
        <f t="shared" si="1"/>
        <v>49</v>
      </c>
      <c r="J18" s="22">
        <f t="shared" si="1"/>
        <v>81</v>
      </c>
    </row>
    <row r="19" spans="1:10" x14ac:dyDescent="0.25">
      <c r="B19" s="21">
        <f t="shared" ref="B19:J19" si="2">B5*B5</f>
        <v>49</v>
      </c>
      <c r="C19" s="4">
        <f t="shared" si="2"/>
        <v>81</v>
      </c>
      <c r="D19" s="4">
        <f t="shared" si="2"/>
        <v>121</v>
      </c>
      <c r="E19" s="4">
        <f t="shared" si="2"/>
        <v>64</v>
      </c>
      <c r="F19" s="4">
        <f t="shared" si="2"/>
        <v>100</v>
      </c>
      <c r="G19" s="4">
        <f t="shared" si="2"/>
        <v>144</v>
      </c>
      <c r="H19" s="4">
        <f t="shared" si="2"/>
        <v>16</v>
      </c>
      <c r="I19" s="4">
        <f t="shared" si="2"/>
        <v>121</v>
      </c>
      <c r="J19" s="22">
        <f t="shared" si="2"/>
        <v>144</v>
      </c>
    </row>
    <row r="20" spans="1:10" x14ac:dyDescent="0.25">
      <c r="B20" s="21">
        <f t="shared" ref="B20:J20" si="3">B6*B6</f>
        <v>81</v>
      </c>
      <c r="C20" s="4">
        <f t="shared" si="3"/>
        <v>49</v>
      </c>
      <c r="D20" s="4">
        <f t="shared" si="3"/>
        <v>25</v>
      </c>
      <c r="E20" s="4">
        <f t="shared" si="3"/>
        <v>64</v>
      </c>
      <c r="F20" s="4">
        <f t="shared" si="3"/>
        <v>36</v>
      </c>
      <c r="G20" s="4">
        <f t="shared" si="3"/>
        <v>16</v>
      </c>
      <c r="H20" s="4">
        <f t="shared" si="3"/>
        <v>100</v>
      </c>
      <c r="I20" s="4">
        <f t="shared" si="3"/>
        <v>64</v>
      </c>
      <c r="J20" s="22">
        <f t="shared" si="3"/>
        <v>36</v>
      </c>
    </row>
    <row r="21" spans="1:10" x14ac:dyDescent="0.25">
      <c r="B21" s="21">
        <f t="shared" ref="B21:J22" si="4">B7*B7</f>
        <v>16</v>
      </c>
      <c r="C21" s="4">
        <f t="shared" si="4"/>
        <v>64</v>
      </c>
      <c r="D21" s="4">
        <f t="shared" si="4"/>
        <v>225</v>
      </c>
      <c r="E21" s="4">
        <f t="shared" si="4"/>
        <v>36</v>
      </c>
      <c r="F21" s="4">
        <f t="shared" si="4"/>
        <v>64</v>
      </c>
      <c r="G21" s="4">
        <f t="shared" si="4"/>
        <v>100</v>
      </c>
      <c r="H21" s="4">
        <f t="shared" si="4"/>
        <v>64</v>
      </c>
      <c r="I21" s="4">
        <f t="shared" si="4"/>
        <v>100</v>
      </c>
      <c r="J21" s="22">
        <f t="shared" si="4"/>
        <v>144</v>
      </c>
    </row>
    <row r="22" spans="1:10" ht="15.75" thickBot="1" x14ac:dyDescent="0.3">
      <c r="B22" s="37">
        <f>B8*B8</f>
        <v>144</v>
      </c>
      <c r="C22" s="24">
        <f t="shared" si="4"/>
        <v>196</v>
      </c>
      <c r="D22" s="24">
        <f t="shared" si="4"/>
        <v>225</v>
      </c>
      <c r="E22" s="24">
        <f t="shared" si="4"/>
        <v>100</v>
      </c>
      <c r="F22" s="24">
        <f t="shared" si="4"/>
        <v>144</v>
      </c>
      <c r="G22" s="24">
        <f t="shared" si="4"/>
        <v>169</v>
      </c>
      <c r="H22" s="24">
        <f t="shared" si="4"/>
        <v>169</v>
      </c>
      <c r="I22" s="24">
        <f t="shared" si="4"/>
        <v>196</v>
      </c>
      <c r="J22" s="25">
        <f t="shared" si="4"/>
        <v>196</v>
      </c>
    </row>
    <row r="23" spans="1:10" ht="30.75" thickBot="1" x14ac:dyDescent="0.3">
      <c r="A23" s="39" t="s">
        <v>63</v>
      </c>
      <c r="B23" s="38">
        <f>SUM(B17:J22)</f>
        <v>5274</v>
      </c>
    </row>
    <row r="26" spans="1:10" ht="30" x14ac:dyDescent="0.25">
      <c r="A26" s="40" t="s">
        <v>50</v>
      </c>
      <c r="B26" s="4">
        <f>B23-(B15*B15)/54</f>
        <v>644.37037037037044</v>
      </c>
    </row>
    <row r="27" spans="1:10" x14ac:dyDescent="0.25">
      <c r="A27" s="42"/>
      <c r="B27" s="12"/>
    </row>
    <row r="28" spans="1:10" ht="30" x14ac:dyDescent="0.25">
      <c r="A28" s="40" t="s">
        <v>49</v>
      </c>
      <c r="B28" s="4"/>
    </row>
    <row r="29" spans="1:10" x14ac:dyDescent="0.25">
      <c r="A29" s="4" t="s">
        <v>64</v>
      </c>
      <c r="B29" s="4">
        <f>B10*B10</f>
        <v>1681</v>
      </c>
    </row>
    <row r="30" spans="1:10" x14ac:dyDescent="0.25">
      <c r="A30" s="4" t="s">
        <v>65</v>
      </c>
      <c r="B30" s="4">
        <f>C10*C10</f>
        <v>3025</v>
      </c>
    </row>
    <row r="31" spans="1:10" x14ac:dyDescent="0.25">
      <c r="A31" s="4" t="s">
        <v>66</v>
      </c>
      <c r="B31" s="4">
        <f>D10*D10</f>
        <v>4489</v>
      </c>
    </row>
    <row r="32" spans="1:10" x14ac:dyDescent="0.25">
      <c r="A32" s="4" t="s">
        <v>67</v>
      </c>
      <c r="B32" s="4">
        <f>E10*E10</f>
        <v>1600</v>
      </c>
    </row>
    <row r="33" spans="1:2" x14ac:dyDescent="0.25">
      <c r="A33" s="4" t="s">
        <v>68</v>
      </c>
      <c r="B33" s="4">
        <f>F10*F10</f>
        <v>3025</v>
      </c>
    </row>
    <row r="34" spans="1:2" x14ac:dyDescent="0.25">
      <c r="A34" s="4" t="s">
        <v>69</v>
      </c>
      <c r="B34" s="4">
        <f>G10*G10</f>
        <v>4356</v>
      </c>
    </row>
    <row r="35" spans="1:2" x14ac:dyDescent="0.25">
      <c r="A35" s="4" t="s">
        <v>70</v>
      </c>
      <c r="B35" s="4">
        <f>H10*H10</f>
        <v>2116</v>
      </c>
    </row>
    <row r="36" spans="1:2" x14ac:dyDescent="0.25">
      <c r="A36" s="4" t="s">
        <v>71</v>
      </c>
      <c r="B36" s="4">
        <f>I10*I10</f>
        <v>3600</v>
      </c>
    </row>
    <row r="37" spans="1:2" x14ac:dyDescent="0.25">
      <c r="A37" s="4" t="s">
        <v>72</v>
      </c>
      <c r="B37" s="4">
        <f>J10*J10</f>
        <v>4900</v>
      </c>
    </row>
    <row r="38" spans="1:2" x14ac:dyDescent="0.25">
      <c r="A38" s="4"/>
      <c r="B38" s="4">
        <f>SUM(B29:B37)/6 - (B15 * B15) / 54</f>
        <v>169.03703703703741</v>
      </c>
    </row>
    <row r="40" spans="1:2" ht="30" x14ac:dyDescent="0.25">
      <c r="A40" s="40" t="s">
        <v>51</v>
      </c>
      <c r="B40" s="4"/>
    </row>
    <row r="41" spans="1:2" x14ac:dyDescent="0.25">
      <c r="A41" s="4" t="s">
        <v>73</v>
      </c>
      <c r="B41" s="4">
        <f>C12*C12</f>
        <v>26569</v>
      </c>
    </row>
    <row r="42" spans="1:2" x14ac:dyDescent="0.25">
      <c r="A42" s="4" t="s">
        <v>74</v>
      </c>
      <c r="B42" s="4">
        <f>F12*F12</f>
        <v>25921</v>
      </c>
    </row>
    <row r="43" spans="1:2" x14ac:dyDescent="0.25">
      <c r="A43" s="4" t="s">
        <v>75</v>
      </c>
      <c r="B43" s="4">
        <f>I12*I12</f>
        <v>30976</v>
      </c>
    </row>
    <row r="44" spans="1:2" x14ac:dyDescent="0.25">
      <c r="A44" s="4"/>
      <c r="B44" s="4">
        <f>SUM(B41:B43)/18 - (B15*B15)/54</f>
        <v>7.3703703703704377</v>
      </c>
    </row>
    <row r="45" spans="1:2" x14ac:dyDescent="0.25">
      <c r="A45" s="32" t="s">
        <v>55</v>
      </c>
      <c r="B45" s="4">
        <f>B44/2</f>
        <v>3.6851851851852189</v>
      </c>
    </row>
    <row r="47" spans="1:2" ht="30" x14ac:dyDescent="0.25">
      <c r="A47" s="40" t="s">
        <v>52</v>
      </c>
      <c r="B47" s="4"/>
    </row>
    <row r="48" spans="1:2" x14ac:dyDescent="0.25">
      <c r="A48" s="4" t="s">
        <v>76</v>
      </c>
      <c r="B48" s="4">
        <f>C13*C13</f>
        <v>16129</v>
      </c>
    </row>
    <row r="49" spans="1:2" x14ac:dyDescent="0.25">
      <c r="A49" s="4" t="s">
        <v>77</v>
      </c>
      <c r="B49" s="4">
        <f>F13*F13</f>
        <v>28900</v>
      </c>
    </row>
    <row r="50" spans="1:2" x14ac:dyDescent="0.25">
      <c r="A50" s="4" t="s">
        <v>78</v>
      </c>
      <c r="B50" s="4">
        <f>I13*I13</f>
        <v>41209</v>
      </c>
    </row>
    <row r="51" spans="1:2" x14ac:dyDescent="0.25">
      <c r="A51" s="4"/>
      <c r="B51" s="4">
        <f>SUM(B48:B50)/18 - (B15*B15)/54</f>
        <v>161.37037037037044</v>
      </c>
    </row>
    <row r="52" spans="1:2" x14ac:dyDescent="0.25">
      <c r="A52" s="32" t="s">
        <v>56</v>
      </c>
      <c r="B52" s="4">
        <f>B51/2</f>
        <v>80.685185185185219</v>
      </c>
    </row>
    <row r="54" spans="1:2" ht="30" x14ac:dyDescent="0.25">
      <c r="A54" s="40" t="s">
        <v>54</v>
      </c>
      <c r="B54" s="4">
        <f>B38-B44-B51</f>
        <v>0.29629629629653209</v>
      </c>
    </row>
    <row r="56" spans="1:2" ht="30" x14ac:dyDescent="0.25">
      <c r="A56" s="40" t="s">
        <v>57</v>
      </c>
      <c r="B56" s="4">
        <f>B26-B38</f>
        <v>475.33333333333303</v>
      </c>
    </row>
    <row r="57" spans="1:2" x14ac:dyDescent="0.25">
      <c r="A57" s="32" t="s">
        <v>61</v>
      </c>
      <c r="B57" s="4">
        <f>B56/45</f>
        <v>10.562962962962956</v>
      </c>
    </row>
    <row r="59" spans="1:2" x14ac:dyDescent="0.25">
      <c r="A59" s="41" t="s">
        <v>58</v>
      </c>
      <c r="B59" s="4">
        <f>B45/B57</f>
        <v>0.34887798036465978</v>
      </c>
    </row>
    <row r="60" spans="1:2" x14ac:dyDescent="0.25">
      <c r="A60" s="41" t="s">
        <v>59</v>
      </c>
      <c r="B60" s="4">
        <f>B52/B57</f>
        <v>7.6384992987377363</v>
      </c>
    </row>
    <row r="61" spans="1:2" x14ac:dyDescent="0.25">
      <c r="A61" s="41" t="s">
        <v>60</v>
      </c>
      <c r="B61" s="4">
        <f>B54/B57</f>
        <v>2.8050490883612802E-2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2</vt:lpstr>
      <vt:lpstr>Ejercicio 6</vt:lpstr>
      <vt:lpstr>Ejercicio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2024-12-29T15:12:57Z</dcterms:created>
  <dcterms:modified xsi:type="dcterms:W3CDTF">2024-12-31T20:03:23Z</dcterms:modified>
</cp:coreProperties>
</file>