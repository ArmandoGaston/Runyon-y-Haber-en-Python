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ueba del signo" sheetId="1" r:id="rId4"/>
    <sheet state="visible" name="Prueba de Wilcoxon" sheetId="2" r:id="rId5"/>
  </sheets>
  <definedNames/>
  <calcPr/>
  <extLst>
    <ext uri="GoogleSheetsCustomDataVersion2">
      <go:sheetsCustomData xmlns:go="http://customooxmlschemas.google.com/" r:id="rId6" roundtripDataChecksum="lZbbdw5Vy0mjndfQr5ghz466a1hTeg4IsvKY8xud4WE="/>
    </ext>
  </extLst>
</workbook>
</file>

<file path=xl/sharedStrings.xml><?xml version="1.0" encoding="utf-8"?>
<sst xmlns="http://schemas.openxmlformats.org/spreadsheetml/2006/main" count="26" uniqueCount="22">
  <si>
    <t xml:space="preserve">Bases robadas </t>
  </si>
  <si>
    <t>Prueba binomial (bilateral)</t>
  </si>
  <si>
    <t>Liga 1</t>
  </si>
  <si>
    <t>Liga 2</t>
  </si>
  <si>
    <t>Diferencias</t>
  </si>
  <si>
    <t>D. Positivas</t>
  </si>
  <si>
    <t>N</t>
  </si>
  <si>
    <t xml:space="preserve">Probabilidad </t>
  </si>
  <si>
    <t>Exitos</t>
  </si>
  <si>
    <t>Probabilidad x = 6</t>
  </si>
  <si>
    <t>Probabilidad x = 7</t>
  </si>
  <si>
    <t>Probabilidad x = 8</t>
  </si>
  <si>
    <t>Probabilidad x = 9</t>
  </si>
  <si>
    <t>Probabilidad x= 10</t>
  </si>
  <si>
    <t>Duplicar porque es bilateral</t>
  </si>
  <si>
    <t>Suma (estadístico)</t>
  </si>
  <si>
    <t>Total dif.
Positivas</t>
  </si>
  <si>
    <t>El N es diez porque las observaciones son pareadas</t>
  </si>
  <si>
    <t>Valores absolutos</t>
  </si>
  <si>
    <t>Rangos de 
diferencias</t>
  </si>
  <si>
    <t>Rango y
 signo</t>
  </si>
  <si>
    <t>Suma de rangos más 
pequeños (estadístico)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</si>
</sst>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i/>
      <u/>
      <sz val="11.0"/>
      <color theme="1"/>
      <name val="Calibri"/>
    </font>
    <font/>
    <font>
      <b/>
      <i/>
      <u/>
      <sz val="11.0"/>
      <color theme="1"/>
      <name val="Calibri"/>
    </font>
    <font>
      <b/>
      <sz val="11.0"/>
      <color rgb="FFFF0000"/>
      <name val="Calibri"/>
    </font>
    <font>
      <b/>
      <sz val="11.0"/>
      <color theme="1"/>
      <name val="Calibri"/>
    </font>
    <font>
      <b/>
      <sz val="11.0"/>
      <color theme="4"/>
      <name val="Calibri"/>
    </font>
    <font>
      <sz val="11.0"/>
      <color theme="1"/>
      <name val="Calibri"/>
    </font>
    <font>
      <b/>
      <i/>
      <sz val="11.0"/>
      <color theme="4"/>
      <name val="Calibri"/>
    </font>
    <font>
      <b/>
      <i/>
      <sz val="11.0"/>
      <color theme="1"/>
      <name val="Calibri"/>
    </font>
    <font>
      <i/>
      <sz val="11.0"/>
      <color theme="1"/>
      <name val="Calibri"/>
    </font>
    <font>
      <b/>
      <i/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1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vertical="center"/>
    </xf>
    <xf borderId="8" fillId="0" fontId="5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0" fontId="5" numFmtId="0" xfId="0" applyBorder="1" applyFont="1"/>
    <xf borderId="10" fillId="0" fontId="7" numFmtId="0" xfId="0" applyBorder="1" applyFont="1"/>
    <xf borderId="11" fillId="0" fontId="4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12" fillId="0" fontId="6" numFmtId="0" xfId="0" applyBorder="1" applyFont="1"/>
    <xf borderId="13" fillId="0" fontId="7" numFmtId="0" xfId="0" applyBorder="1" applyFont="1"/>
    <xf borderId="14" fillId="0" fontId="4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0" fillId="0" fontId="6" numFmtId="0" xfId="0" applyBorder="1" applyFont="1"/>
    <xf borderId="15" fillId="0" fontId="7" numFmtId="0" xfId="0" applyAlignment="1" applyBorder="1" applyFont="1">
      <alignment readingOrder="0"/>
    </xf>
    <xf borderId="15" fillId="0" fontId="7" numFmtId="0" xfId="0" applyBorder="1" applyFont="1"/>
    <xf borderId="10" fillId="0" fontId="8" numFmtId="0" xfId="0" applyBorder="1" applyFont="1"/>
    <xf borderId="7" fillId="0" fontId="4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8" fillId="0" fontId="6" numFmtId="0" xfId="0" applyBorder="1" applyFont="1"/>
    <xf borderId="9" fillId="0" fontId="7" numFmtId="0" xfId="0" applyBorder="1" applyFont="1"/>
    <xf borderId="16" fillId="0" fontId="9" numFmtId="0" xfId="0" applyAlignment="1" applyBorder="1" applyFont="1">
      <alignment horizontal="center" shrinkToFit="0" vertical="center" wrapText="1"/>
    </xf>
    <xf borderId="17" fillId="0" fontId="9" numFmtId="0" xfId="0" applyAlignment="1" applyBorder="1" applyFont="1">
      <alignment horizontal="center" vertical="center"/>
    </xf>
    <xf borderId="18" fillId="0" fontId="5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center"/>
    </xf>
    <xf borderId="20" fillId="0" fontId="2" numFmtId="0" xfId="0" applyBorder="1" applyFont="1"/>
    <xf borderId="21" fillId="0" fontId="2" numFmtId="0" xfId="0" applyBorder="1" applyFont="1"/>
    <xf borderId="22" fillId="0" fontId="4" numFmtId="0" xfId="0" applyAlignment="1" applyBorder="1" applyFont="1">
      <alignment vertical="center"/>
    </xf>
    <xf borderId="22" fillId="0" fontId="5" numFmtId="0" xfId="0" applyAlignment="1" applyBorder="1" applyFont="1">
      <alignment vertical="center"/>
    </xf>
    <xf borderId="22" fillId="0" fontId="6" numFmtId="0" xfId="0" applyAlignment="1" applyBorder="1" applyFont="1">
      <alignment vertical="center"/>
    </xf>
    <xf borderId="18" fillId="0" fontId="7" numFmtId="0" xfId="0" applyAlignment="1" applyBorder="1" applyFont="1">
      <alignment shrinkToFit="0" wrapText="1"/>
    </xf>
    <xf borderId="23" fillId="0" fontId="7" numFmtId="0" xfId="0" applyBorder="1" applyFont="1"/>
    <xf borderId="24" fillId="0" fontId="7" numFmtId="0" xfId="0" applyBorder="1" applyFont="1"/>
    <xf borderId="12" fillId="0" fontId="4" numFmtId="0" xfId="0" applyAlignment="1" applyBorder="1" applyFont="1">
      <alignment readingOrder="0"/>
    </xf>
    <xf borderId="25" fillId="0" fontId="4" numFmtId="0" xfId="0" applyBorder="1" applyFont="1"/>
    <xf borderId="26" fillId="0" fontId="7" numFmtId="0" xfId="0" applyBorder="1" applyFont="1"/>
    <xf borderId="25" fillId="0" fontId="5" numFmtId="0" xfId="0" applyBorder="1" applyFont="1"/>
    <xf borderId="10" fillId="0" fontId="4" numFmtId="0" xfId="0" applyAlignment="1" applyBorder="1" applyFont="1">
      <alignment readingOrder="0"/>
    </xf>
    <xf borderId="14" fillId="0" fontId="7" numFmtId="0" xfId="0" applyBorder="1" applyFont="1"/>
    <xf borderId="10" fillId="0" fontId="4" numFmtId="0" xfId="0" applyBorder="1" applyFont="1"/>
    <xf borderId="27" fillId="0" fontId="7" numFmtId="0" xfId="0" applyBorder="1" applyFont="1"/>
    <xf borderId="28" fillId="0" fontId="7" numFmtId="0" xfId="0" applyBorder="1" applyFont="1"/>
    <xf borderId="16" fillId="0" fontId="7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29" fillId="0" fontId="2" numFmtId="0" xfId="0" applyBorder="1" applyFont="1"/>
    <xf borderId="30" fillId="0" fontId="7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8.71"/>
    <col customWidth="1" min="8" max="8" width="10.71"/>
    <col customWidth="1" min="9" max="9" width="26.71"/>
    <col customWidth="1" min="10" max="26" width="10.71"/>
  </cols>
  <sheetData>
    <row r="1">
      <c r="B1" s="1" t="s">
        <v>0</v>
      </c>
      <c r="C1" s="2"/>
      <c r="D1" s="2"/>
      <c r="E1" s="3"/>
      <c r="G1" s="4" t="s">
        <v>1</v>
      </c>
      <c r="H1" s="5"/>
      <c r="I1" s="6"/>
    </row>
    <row r="2">
      <c r="B2" s="7" t="s">
        <v>2</v>
      </c>
      <c r="C2" s="8" t="s">
        <v>3</v>
      </c>
      <c r="D2" s="9" t="s">
        <v>4</v>
      </c>
      <c r="E2" s="10" t="s">
        <v>5</v>
      </c>
      <c r="G2" s="11" t="s">
        <v>6</v>
      </c>
      <c r="H2" s="12">
        <v>10.0</v>
      </c>
      <c r="I2" s="12"/>
    </row>
    <row r="3">
      <c r="B3" s="13">
        <v>10.2</v>
      </c>
      <c r="C3" s="14">
        <v>9.9</v>
      </c>
      <c r="D3" s="15">
        <f t="shared" ref="D3:D12" si="1">B3-C3</f>
        <v>0.3</v>
      </c>
      <c r="E3" s="16">
        <v>1.0</v>
      </c>
      <c r="G3" s="11" t="s">
        <v>7</v>
      </c>
      <c r="H3" s="12">
        <v>0.5</v>
      </c>
      <c r="I3" s="12"/>
    </row>
    <row r="4">
      <c r="B4" s="17">
        <v>11.1</v>
      </c>
      <c r="C4" s="18">
        <v>10.3</v>
      </c>
      <c r="D4" s="19">
        <f t="shared" si="1"/>
        <v>0.8</v>
      </c>
      <c r="E4" s="20">
        <v>1.0</v>
      </c>
      <c r="G4" s="11" t="s">
        <v>8</v>
      </c>
      <c r="H4" s="12">
        <f>E13</f>
        <v>6</v>
      </c>
      <c r="I4" s="12"/>
    </row>
    <row r="5">
      <c r="B5" s="17">
        <v>10.5</v>
      </c>
      <c r="C5" s="18">
        <v>11.0</v>
      </c>
      <c r="D5" s="19">
        <f t="shared" si="1"/>
        <v>-0.5</v>
      </c>
      <c r="E5" s="21"/>
      <c r="G5" s="12"/>
      <c r="H5" s="12"/>
      <c r="I5" s="12"/>
    </row>
    <row r="6">
      <c r="B6" s="17">
        <v>10.0</v>
      </c>
      <c r="C6" s="18">
        <v>10.1</v>
      </c>
      <c r="D6" s="19">
        <f t="shared" si="1"/>
        <v>-0.1</v>
      </c>
      <c r="E6" s="21"/>
      <c r="G6" s="18" t="s">
        <v>9</v>
      </c>
      <c r="H6" s="12">
        <f>_xlfn.BINOM.DIST(6
,$H$2,$H$3,FALSE)</f>
        <v>0.205078125</v>
      </c>
      <c r="I6" s="12"/>
    </row>
    <row r="7">
      <c r="B7" s="17">
        <v>9.7</v>
      </c>
      <c r="C7" s="18">
        <v>9.8</v>
      </c>
      <c r="D7" s="19">
        <f t="shared" si="1"/>
        <v>-0.1</v>
      </c>
      <c r="E7" s="21"/>
      <c r="G7" s="11" t="s">
        <v>10</v>
      </c>
      <c r="H7" s="12">
        <f>_xlfn.BINOM.DIST(7,$H$2,$H$3,FALSE)</f>
        <v>0.1171875</v>
      </c>
      <c r="I7" s="12"/>
    </row>
    <row r="8">
      <c r="B8" s="17">
        <v>12.0</v>
      </c>
      <c r="C8" s="18">
        <v>9.5</v>
      </c>
      <c r="D8" s="19">
        <f t="shared" si="1"/>
        <v>2.5</v>
      </c>
      <c r="E8" s="20">
        <v>1.0</v>
      </c>
      <c r="G8" s="11" t="s">
        <v>11</v>
      </c>
      <c r="H8" s="12">
        <f>_xlfn.BINOM.DIST(8,$H$2,$H$3,FALSE)</f>
        <v>0.0439453125</v>
      </c>
      <c r="I8" s="12"/>
    </row>
    <row r="9">
      <c r="B9" s="17">
        <v>10.7</v>
      </c>
      <c r="C9" s="18">
        <v>10.8</v>
      </c>
      <c r="D9" s="19">
        <f t="shared" si="1"/>
        <v>-0.1</v>
      </c>
      <c r="E9" s="21"/>
      <c r="G9" s="11" t="s">
        <v>12</v>
      </c>
      <c r="H9" s="12">
        <f>_xlfn.BINOM.DIST(9,$H$2,$H$3,FALSE)</f>
        <v>0.009765625</v>
      </c>
      <c r="I9" s="12"/>
    </row>
    <row r="10">
      <c r="B10" s="17">
        <v>10.9</v>
      </c>
      <c r="C10" s="18">
        <v>10.6</v>
      </c>
      <c r="D10" s="19">
        <f t="shared" si="1"/>
        <v>0.3</v>
      </c>
      <c r="E10" s="20">
        <v>1.0</v>
      </c>
      <c r="G10" s="11" t="s">
        <v>13</v>
      </c>
      <c r="H10" s="12">
        <f>_xlfn.BINOM.DIST(10,$H$2,$H$3,FALSE)</f>
        <v>0.0009765625</v>
      </c>
      <c r="I10" s="12"/>
    </row>
    <row r="11">
      <c r="B11" s="17">
        <v>11.5</v>
      </c>
      <c r="C11" s="18">
        <v>9.6</v>
      </c>
      <c r="D11" s="19">
        <f t="shared" si="1"/>
        <v>1.9</v>
      </c>
      <c r="E11" s="20">
        <v>1.0</v>
      </c>
      <c r="G11" s="12"/>
      <c r="H11" s="12"/>
      <c r="I11" s="22" t="s">
        <v>14</v>
      </c>
    </row>
    <row r="12">
      <c r="B12" s="23">
        <v>10.4</v>
      </c>
      <c r="C12" s="24">
        <v>9.4</v>
      </c>
      <c r="D12" s="25">
        <f t="shared" si="1"/>
        <v>1</v>
      </c>
      <c r="E12" s="26">
        <v>1.0</v>
      </c>
      <c r="G12" s="22" t="s">
        <v>15</v>
      </c>
      <c r="H12" s="19">
        <f>SUM(H6:H10)</f>
        <v>0.376953125</v>
      </c>
      <c r="I12" s="19">
        <f>H12*2</f>
        <v>0.75390625</v>
      </c>
    </row>
    <row r="13">
      <c r="A13" s="27" t="s">
        <v>16</v>
      </c>
      <c r="B13" s="28"/>
      <c r="C13" s="28"/>
      <c r="D13" s="28"/>
      <c r="E13" s="29">
        <f>SUM(E3:E12)</f>
        <v>6</v>
      </c>
      <c r="G13" s="12"/>
      <c r="H13" s="12"/>
      <c r="I13" s="12"/>
    </row>
    <row r="14">
      <c r="G14" s="30" t="s">
        <v>17</v>
      </c>
      <c r="H14" s="5"/>
      <c r="I1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G1:I1"/>
    <mergeCell ref="G14:I1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6.0"/>
    <col customWidth="1" min="4" max="4" width="21.43"/>
    <col customWidth="1" min="5" max="26" width="10.71"/>
  </cols>
  <sheetData>
    <row r="1">
      <c r="A1" s="31" t="s">
        <v>0</v>
      </c>
      <c r="B1" s="32"/>
      <c r="C1" s="32"/>
      <c r="D1" s="33"/>
    </row>
    <row r="2">
      <c r="A2" s="34" t="s">
        <v>2</v>
      </c>
      <c r="B2" s="35" t="s">
        <v>3</v>
      </c>
      <c r="C2" s="36" t="s">
        <v>4</v>
      </c>
      <c r="D2" s="36" t="s">
        <v>18</v>
      </c>
      <c r="G2" s="37" t="s">
        <v>19</v>
      </c>
      <c r="H2" s="38"/>
      <c r="I2" s="39" t="s">
        <v>20</v>
      </c>
    </row>
    <row r="3">
      <c r="A3" s="40">
        <v>10.2</v>
      </c>
      <c r="B3" s="14">
        <v>9.9</v>
      </c>
      <c r="C3" s="41">
        <f t="shared" ref="C3:C12" si="1">A3-B3</f>
        <v>0.3</v>
      </c>
      <c r="D3" s="41">
        <f t="shared" ref="D3:D12" si="2">ABS(C3)</f>
        <v>0.3</v>
      </c>
      <c r="G3" s="42">
        <v>1.0</v>
      </c>
      <c r="H3" s="43">
        <v>0.09999999999999964</v>
      </c>
      <c r="I3" s="20">
        <v>-1.0</v>
      </c>
    </row>
    <row r="4">
      <c r="A4" s="44">
        <v>11.1</v>
      </c>
      <c r="B4" s="18">
        <v>10.3</v>
      </c>
      <c r="C4" s="41">
        <f t="shared" si="1"/>
        <v>0.8</v>
      </c>
      <c r="D4" s="41">
        <f t="shared" si="2"/>
        <v>0.8</v>
      </c>
      <c r="G4" s="45">
        <v>2.0</v>
      </c>
      <c r="H4" s="43">
        <v>0.10000000000000142</v>
      </c>
      <c r="I4" s="20">
        <v>-2.0</v>
      </c>
    </row>
    <row r="5">
      <c r="A5" s="44">
        <v>10.5</v>
      </c>
      <c r="B5" s="18">
        <v>11.0</v>
      </c>
      <c r="C5" s="11">
        <f t="shared" si="1"/>
        <v>-0.5</v>
      </c>
      <c r="D5" s="11">
        <f t="shared" si="2"/>
        <v>0.5</v>
      </c>
      <c r="G5" s="45">
        <v>3.0</v>
      </c>
      <c r="H5" s="11">
        <v>0.10000000000000142</v>
      </c>
      <c r="I5" s="20">
        <v>-3.0</v>
      </c>
    </row>
    <row r="6">
      <c r="A6" s="44">
        <v>10.0</v>
      </c>
      <c r="B6" s="18">
        <v>10.1</v>
      </c>
      <c r="C6" s="11">
        <f t="shared" si="1"/>
        <v>-0.1</v>
      </c>
      <c r="D6" s="11">
        <f t="shared" si="2"/>
        <v>0.1</v>
      </c>
      <c r="G6" s="45">
        <v>4.0</v>
      </c>
      <c r="H6" s="46">
        <v>0.29999999999999893</v>
      </c>
      <c r="I6" s="21"/>
    </row>
    <row r="7">
      <c r="A7" s="44">
        <v>9.7</v>
      </c>
      <c r="B7" s="18">
        <v>9.8</v>
      </c>
      <c r="C7" s="11">
        <f t="shared" si="1"/>
        <v>-0.1</v>
      </c>
      <c r="D7" s="11">
        <f t="shared" si="2"/>
        <v>0.1</v>
      </c>
      <c r="G7" s="45">
        <v>5.0</v>
      </c>
      <c r="H7" s="46">
        <v>0.3000000000000007</v>
      </c>
      <c r="I7" s="21"/>
    </row>
    <row r="8">
      <c r="A8" s="44">
        <v>12.0</v>
      </c>
      <c r="B8" s="18">
        <v>9.5</v>
      </c>
      <c r="C8" s="46">
        <f t="shared" si="1"/>
        <v>2.5</v>
      </c>
      <c r="D8" s="46">
        <f t="shared" si="2"/>
        <v>2.5</v>
      </c>
      <c r="G8" s="45">
        <v>6.0</v>
      </c>
      <c r="H8" s="11">
        <v>0.5</v>
      </c>
      <c r="I8" s="20">
        <v>-6.0</v>
      </c>
    </row>
    <row r="9">
      <c r="A9" s="44">
        <v>10.7</v>
      </c>
      <c r="B9" s="18">
        <v>10.8</v>
      </c>
      <c r="C9" s="11">
        <f t="shared" si="1"/>
        <v>-0.1</v>
      </c>
      <c r="D9" s="11">
        <f t="shared" si="2"/>
        <v>0.1</v>
      </c>
      <c r="G9" s="45">
        <v>7.0</v>
      </c>
      <c r="H9" s="46">
        <v>0.7999999999999989</v>
      </c>
      <c r="I9" s="21"/>
    </row>
    <row r="10">
      <c r="A10" s="44">
        <v>10.9</v>
      </c>
      <c r="B10" s="18">
        <v>10.6</v>
      </c>
      <c r="C10" s="46">
        <f t="shared" si="1"/>
        <v>0.3</v>
      </c>
      <c r="D10" s="46">
        <f t="shared" si="2"/>
        <v>0.3</v>
      </c>
      <c r="G10" s="45">
        <v>8.0</v>
      </c>
      <c r="H10" s="46">
        <v>1.0</v>
      </c>
      <c r="I10" s="21"/>
    </row>
    <row r="11">
      <c r="A11" s="44">
        <v>11.5</v>
      </c>
      <c r="B11" s="18">
        <v>9.6</v>
      </c>
      <c r="C11" s="46">
        <f t="shared" si="1"/>
        <v>1.9</v>
      </c>
      <c r="D11" s="46">
        <f t="shared" si="2"/>
        <v>1.9</v>
      </c>
      <c r="G11" s="45">
        <v>9.0</v>
      </c>
      <c r="H11" s="46">
        <v>1.9000000000000004</v>
      </c>
      <c r="I11" s="21"/>
    </row>
    <row r="12">
      <c r="A12" s="44">
        <v>10.4</v>
      </c>
      <c r="B12" s="18">
        <v>9.4</v>
      </c>
      <c r="C12" s="46">
        <f t="shared" si="1"/>
        <v>1</v>
      </c>
      <c r="D12" s="46">
        <f t="shared" si="2"/>
        <v>1</v>
      </c>
      <c r="G12" s="47">
        <v>10.0</v>
      </c>
      <c r="H12" s="46">
        <v>2.5</v>
      </c>
      <c r="I12" s="48"/>
    </row>
    <row r="13" ht="36.75" customHeight="1">
      <c r="F13" s="49" t="s">
        <v>21</v>
      </c>
      <c r="G13" s="50"/>
      <c r="H13" s="51"/>
      <c r="I13" s="52">
        <f>SUM(I3:I12)</f>
        <v>-12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F13:H1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2025-05-27T01:34:08Z</dcterms:created>
  <dc:creator>Armando Gaston Acuña</dc:creator>
</cp:coreProperties>
</file>