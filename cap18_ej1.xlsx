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 de Mann-Whitney" sheetId="1" r:id="rId4"/>
    <sheet state="visible" name="Prueba del signo" sheetId="2" r:id="rId5"/>
    <sheet state="visible" name="Prueba de Wilcoxon" sheetId="3" r:id="rId6"/>
  </sheets>
  <definedNames/>
  <calcPr/>
  <extLst>
    <ext uri="GoogleSheetsCustomDataVersion2">
      <go:sheetsCustomData xmlns:go="http://customooxmlschemas.google.com/" r:id="rId7" roundtripDataChecksum="90cRE1fiGoYinvMIhyFYHkBx8GMALiuyoKEJp3fUjAc="/>
    </ext>
  </extLst>
</workbook>
</file>

<file path=xl/sharedStrings.xml><?xml version="1.0" encoding="utf-8"?>
<sst xmlns="http://schemas.openxmlformats.org/spreadsheetml/2006/main" count="36" uniqueCount="29">
  <si>
    <t xml:space="preserve">Bases robadas </t>
  </si>
  <si>
    <t>Liga 1</t>
  </si>
  <si>
    <t>Rango 1</t>
  </si>
  <si>
    <t>Liga 2</t>
  </si>
  <si>
    <t>Rango 2</t>
  </si>
  <si>
    <t>Rango de 
cada calificación</t>
  </si>
  <si>
    <t>U</t>
  </si>
  <si>
    <t>U'</t>
  </si>
  <si>
    <t>N1*N2</t>
  </si>
  <si>
    <t>Suma de rangos</t>
  </si>
  <si>
    <t>Estadístico</t>
  </si>
  <si>
    <t>Prueba binomial (bilateral)</t>
  </si>
  <si>
    <t>Diferencias</t>
  </si>
  <si>
    <t>D. Positivas</t>
  </si>
  <si>
    <t>N</t>
  </si>
  <si>
    <t xml:space="preserve">Probabilidad </t>
  </si>
  <si>
    <t>Exitos</t>
  </si>
  <si>
    <t>Probabilidad x = 7</t>
  </si>
  <si>
    <t>Probabilidad x = 8</t>
  </si>
  <si>
    <t>Probabilidad x = 9</t>
  </si>
  <si>
    <t>Probabilidad x= 10</t>
  </si>
  <si>
    <t>Duplicar porque es bilateral</t>
  </si>
  <si>
    <t>Suma (estadístico)</t>
  </si>
  <si>
    <t>Total dif.
Positivas</t>
  </si>
  <si>
    <t>El N es diez porque las observaciones son pareadas</t>
  </si>
  <si>
    <t>Valores absolutos</t>
  </si>
  <si>
    <t>Rangos de 
diferencias</t>
  </si>
  <si>
    <t>Rango y
 signo</t>
  </si>
  <si>
    <t>Suma de rangos más 
pequeños (estadístico)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</si>
</sst>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i/>
      <u/>
      <sz val="11.0"/>
      <color theme="1"/>
      <name val="Calibri"/>
    </font>
    <font/>
    <font>
      <b/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u/>
      <sz val="11.0"/>
      <color theme="1"/>
      <name val="Calibri"/>
    </font>
    <font>
      <b/>
      <sz val="11.0"/>
      <color theme="4"/>
      <name val="Calibri"/>
    </font>
    <font>
      <b/>
      <i/>
      <sz val="11.0"/>
      <color theme="4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b/>
      <i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7" fillId="0" fontId="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4" numFmtId="0" xfId="0" applyBorder="1" applyFont="1"/>
    <xf borderId="10" fillId="0" fontId="5" numFmtId="0" xfId="0" applyBorder="1" applyFont="1"/>
    <xf borderId="8" fillId="0" fontId="5" numFmtId="0" xfId="0" applyBorder="1" applyFont="1"/>
    <xf borderId="11" fillId="0" fontId="3" numFmtId="0" xfId="0" applyBorder="1" applyFont="1"/>
    <xf borderId="12" fillId="0" fontId="4" numFmtId="0" xfId="0" applyBorder="1" applyFont="1"/>
    <xf borderId="12" fillId="0" fontId="5" numFmtId="0" xfId="0" applyBorder="1" applyFont="1"/>
    <xf borderId="13" fillId="0" fontId="4" numFmtId="0" xfId="0" applyBorder="1" applyFont="1"/>
    <xf borderId="11" fillId="0" fontId="5" numFmtId="0" xfId="0" applyBorder="1" applyFont="1"/>
    <xf borderId="14" fillId="0" fontId="4" numFmtId="0" xfId="0" applyBorder="1" applyFont="1"/>
    <xf borderId="11" fillId="0" fontId="4" numFmtId="0" xfId="0" applyBorder="1" applyFont="1"/>
    <xf borderId="15" fillId="0" fontId="3" numFmtId="0" xfId="0" applyBorder="1" applyFont="1"/>
    <xf borderId="16" fillId="0" fontId="4" numFmtId="0" xfId="0" applyBorder="1" applyFont="1"/>
    <xf borderId="16" fillId="0" fontId="5" numFmtId="0" xfId="0" applyBorder="1" applyFont="1"/>
    <xf borderId="17" fillId="0" fontId="4" numFmtId="0" xfId="0" applyBorder="1" applyFont="1"/>
    <xf borderId="15" fillId="0" fontId="4" numFmtId="0" xfId="0" applyBorder="1" applyFont="1"/>
    <xf borderId="15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19" fillId="0" fontId="3" numFmtId="0" xfId="0" applyBorder="1" applyFont="1"/>
    <xf borderId="21" fillId="0" fontId="4" numFmtId="0" xfId="0" applyBorder="1" applyFont="1"/>
    <xf borderId="21" fillId="0" fontId="5" numFmtId="0" xfId="0" applyBorder="1" applyFont="1"/>
    <xf borderId="20" fillId="0" fontId="4" numFmtId="0" xfId="0" applyBorder="1" applyFont="1"/>
    <xf borderId="22" fillId="0" fontId="6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5" fillId="0" fontId="7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12" fillId="0" fontId="7" numFmtId="0" xfId="0" applyBorder="1" applyFont="1"/>
    <xf borderId="16" fillId="0" fontId="7" numFmtId="0" xfId="0" applyBorder="1" applyFont="1"/>
    <xf borderId="16" fillId="0" fontId="8" numFmtId="0" xfId="0" applyBorder="1" applyFont="1"/>
    <xf borderId="4" fillId="0" fontId="3" numFmtId="0" xfId="0" applyBorder="1" applyFont="1"/>
    <xf borderId="5" fillId="0" fontId="5" numFmtId="0" xfId="0" applyBorder="1" applyFont="1"/>
    <xf borderId="5" fillId="0" fontId="7" numFmtId="0" xfId="0" applyBorder="1" applyFont="1"/>
    <xf borderId="6" fillId="0" fontId="4" numFmtId="0" xfId="0" applyBorder="1" applyFont="1"/>
    <xf borderId="25" fillId="0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/>
    </xf>
    <xf borderId="26" fillId="0" fontId="2" numFmtId="0" xfId="0" applyBorder="1" applyFont="1"/>
    <xf borderId="28" fillId="0" fontId="2" numFmtId="0" xfId="0" applyBorder="1" applyFont="1"/>
    <xf borderId="29" fillId="0" fontId="3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31" fillId="0" fontId="7" numFmtId="0" xfId="0" applyAlignment="1" applyBorder="1" applyFont="1">
      <alignment vertical="center"/>
    </xf>
    <xf borderId="27" fillId="0" fontId="4" numFmtId="0" xfId="0" applyAlignment="1" applyBorder="1" applyFont="1">
      <alignment shrinkToFit="0" wrapText="1"/>
    </xf>
    <xf borderId="10" fillId="0" fontId="4" numFmtId="0" xfId="0" applyBorder="1" applyFont="1"/>
    <xf borderId="8" fillId="0" fontId="4" numFmtId="0" xfId="0" applyAlignment="1" applyBorder="1" applyFont="1">
      <alignment readingOrder="0"/>
    </xf>
    <xf borderId="32" fillId="0" fontId="3" numFmtId="0" xfId="0" applyBorder="1" applyFont="1"/>
    <xf borderId="33" fillId="0" fontId="5" numFmtId="0" xfId="0" applyBorder="1" applyFont="1"/>
    <xf borderId="33" fillId="0" fontId="3" numFmtId="0" xfId="0" applyBorder="1" applyFont="1"/>
    <xf borderId="34" fillId="0" fontId="3" numFmtId="0" xfId="0" applyBorder="1" applyFont="1"/>
    <xf borderId="32" fillId="0" fontId="4" numFmtId="0" xfId="0" applyBorder="1" applyFont="1"/>
    <xf borderId="17" fillId="0" fontId="4" numFmtId="0" xfId="0" applyAlignment="1" applyBorder="1" applyFont="1">
      <alignment readingOrder="0"/>
    </xf>
    <xf borderId="17" fillId="0" fontId="3" numFmtId="0" xfId="0" applyBorder="1" applyFont="1"/>
    <xf borderId="16" fillId="0" fontId="3" numFmtId="0" xfId="0" applyBorder="1" applyFont="1"/>
    <xf borderId="17" fillId="0" fontId="5" numFmtId="0" xfId="0" applyBorder="1" applyFont="1"/>
    <xf borderId="21" fillId="0" fontId="3" numFmtId="0" xfId="0" applyBorder="1" applyFont="1"/>
    <xf borderId="20" fillId="0" fontId="3" numFmtId="0" xfId="0" applyBorder="1" applyFont="1"/>
    <xf borderId="19" fillId="0" fontId="4" numFmtId="0" xfId="0" applyBorder="1" applyFont="1"/>
    <xf borderId="25" fillId="0" fontId="4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152400</xdr:colOff>
      <xdr:row>1</xdr:row>
      <xdr:rowOff>266700</xdr:rowOff>
    </xdr:from>
    <xdr:ext cx="27051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5</xdr:row>
      <xdr:rowOff>104775</xdr:rowOff>
    </xdr:from>
    <xdr:ext cx="2466975" cy="657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7.43"/>
    <col customWidth="1" min="7" max="8" width="10.71"/>
    <col customWidth="1" min="9" max="9" width="16.14"/>
    <col customWidth="1" min="10" max="26" width="10.71"/>
  </cols>
  <sheetData>
    <row r="1">
      <c r="A1" s="1" t="s">
        <v>0</v>
      </c>
      <c r="B1" s="2"/>
      <c r="C1" s="2"/>
      <c r="D1" s="3"/>
    </row>
    <row r="2" ht="30.75" customHeight="1">
      <c r="A2" s="4" t="s">
        <v>1</v>
      </c>
      <c r="B2" s="5" t="s">
        <v>2</v>
      </c>
      <c r="C2" s="6" t="s">
        <v>3</v>
      </c>
      <c r="D2" s="7" t="s">
        <v>4</v>
      </c>
      <c r="E2" s="8"/>
      <c r="F2" s="9" t="s">
        <v>5</v>
      </c>
      <c r="G2" s="10"/>
      <c r="I2" s="11"/>
      <c r="J2" s="12" t="s">
        <v>6</v>
      </c>
      <c r="K2" s="13" t="s">
        <v>7</v>
      </c>
    </row>
    <row r="3">
      <c r="A3" s="14">
        <v>91.0</v>
      </c>
      <c r="B3" s="15">
        <v>15.0</v>
      </c>
      <c r="C3" s="16">
        <v>81.0</v>
      </c>
      <c r="D3" s="17">
        <v>12.5</v>
      </c>
      <c r="F3" s="18">
        <v>28.0</v>
      </c>
      <c r="G3" s="17">
        <v>1.0</v>
      </c>
      <c r="I3" s="19" t="s">
        <v>8</v>
      </c>
      <c r="J3" s="20">
        <f>COUNT(A3:A12)*COUNT(C3:C12)</f>
        <v>100</v>
      </c>
      <c r="K3" s="17">
        <f>COUNT(A3:A12)*COUNT(C3:C12)</f>
        <v>100</v>
      </c>
    </row>
    <row r="4">
      <c r="A4" s="21">
        <v>46.0</v>
      </c>
      <c r="B4" s="22">
        <v>4.5</v>
      </c>
      <c r="C4" s="23">
        <v>51.0</v>
      </c>
      <c r="D4" s="24">
        <v>7.0</v>
      </c>
      <c r="F4" s="21">
        <v>34.0</v>
      </c>
      <c r="G4" s="24">
        <v>2.0</v>
      </c>
      <c r="I4" s="19" t="s">
        <v>9</v>
      </c>
      <c r="J4" s="25">
        <f>SUM(G4+G6+G10+G14+G17+G18+G19+G20+G21+G22)</f>
        <v>132</v>
      </c>
      <c r="K4" s="24">
        <f>G3+G5+G7+G8+G9+G11+G12+G13+G15+G16</f>
        <v>78</v>
      </c>
    </row>
    <row r="5">
      <c r="A5" s="21">
        <v>108.0</v>
      </c>
      <c r="B5" s="22">
        <v>18.0</v>
      </c>
      <c r="C5" s="23">
        <v>63.0</v>
      </c>
      <c r="D5" s="24">
        <v>9.0</v>
      </c>
      <c r="F5" s="26">
        <v>45.0</v>
      </c>
      <c r="G5" s="24">
        <v>3.0</v>
      </c>
      <c r="I5" s="27" t="s">
        <v>10</v>
      </c>
      <c r="J5" s="28">
        <f t="shared" ref="J5:K5" si="1">J3+10*(10+1)-J4</f>
        <v>78</v>
      </c>
      <c r="K5" s="29">
        <f t="shared" si="1"/>
        <v>132</v>
      </c>
    </row>
    <row r="6">
      <c r="A6" s="21">
        <v>99.0</v>
      </c>
      <c r="B6" s="22">
        <v>16.0</v>
      </c>
      <c r="C6" s="23">
        <v>51.0</v>
      </c>
      <c r="D6" s="24">
        <v>6.0</v>
      </c>
      <c r="F6" s="21">
        <v>46.0</v>
      </c>
      <c r="G6" s="24">
        <v>4.5</v>
      </c>
    </row>
    <row r="7">
      <c r="A7" s="21">
        <v>110.0</v>
      </c>
      <c r="B7" s="22">
        <v>19.0</v>
      </c>
      <c r="C7" s="23">
        <v>46.0</v>
      </c>
      <c r="D7" s="24">
        <v>4.5</v>
      </c>
      <c r="F7" s="26">
        <v>46.0</v>
      </c>
      <c r="G7" s="24">
        <v>4.5</v>
      </c>
    </row>
    <row r="8">
      <c r="A8" s="21">
        <v>105.0</v>
      </c>
      <c r="B8" s="22">
        <v>17.0</v>
      </c>
      <c r="C8" s="23">
        <v>45.0</v>
      </c>
      <c r="D8" s="24">
        <v>3.0</v>
      </c>
      <c r="F8" s="26">
        <v>51.0</v>
      </c>
      <c r="G8" s="24">
        <v>6.0</v>
      </c>
    </row>
    <row r="9">
      <c r="A9" s="21">
        <v>191.0</v>
      </c>
      <c r="B9" s="22">
        <v>20.0</v>
      </c>
      <c r="C9" s="23">
        <v>66.0</v>
      </c>
      <c r="D9" s="24">
        <v>11.0</v>
      </c>
      <c r="F9" s="26">
        <v>51.0</v>
      </c>
      <c r="G9" s="24">
        <v>7.0</v>
      </c>
    </row>
    <row r="10">
      <c r="A10" s="21">
        <v>57.0</v>
      </c>
      <c r="B10" s="22">
        <v>8.0</v>
      </c>
      <c r="C10" s="23">
        <v>64.0</v>
      </c>
      <c r="D10" s="24">
        <v>10.0</v>
      </c>
      <c r="F10" s="21">
        <v>57.0</v>
      </c>
      <c r="G10" s="24">
        <v>8.0</v>
      </c>
    </row>
    <row r="11">
      <c r="A11" s="21">
        <v>34.0</v>
      </c>
      <c r="B11" s="22">
        <v>2.0</v>
      </c>
      <c r="C11" s="23">
        <v>90.0</v>
      </c>
      <c r="D11" s="24">
        <v>14.0</v>
      </c>
      <c r="F11" s="26">
        <v>63.0</v>
      </c>
      <c r="G11" s="24">
        <v>9.0</v>
      </c>
    </row>
    <row r="12">
      <c r="A12" s="30">
        <v>81.0</v>
      </c>
      <c r="B12" s="31">
        <v>12.5</v>
      </c>
      <c r="C12" s="32">
        <v>28.0</v>
      </c>
      <c r="D12" s="33">
        <v>1.0</v>
      </c>
      <c r="F12" s="26">
        <v>64.0</v>
      </c>
      <c r="G12" s="24">
        <v>10.0</v>
      </c>
    </row>
    <row r="13">
      <c r="F13" s="26">
        <v>66.0</v>
      </c>
      <c r="G13" s="24">
        <v>11.0</v>
      </c>
    </row>
    <row r="14">
      <c r="F14" s="21">
        <v>81.0</v>
      </c>
      <c r="G14" s="24">
        <v>12.5</v>
      </c>
    </row>
    <row r="15">
      <c r="F15" s="26">
        <v>81.0</v>
      </c>
      <c r="G15" s="24">
        <v>12.5</v>
      </c>
    </row>
    <row r="16">
      <c r="F16" s="26">
        <v>90.0</v>
      </c>
      <c r="G16" s="24">
        <v>14.0</v>
      </c>
    </row>
    <row r="17">
      <c r="F17" s="21">
        <v>91.0</v>
      </c>
      <c r="G17" s="24">
        <v>15.0</v>
      </c>
    </row>
    <row r="18">
      <c r="F18" s="21">
        <v>99.0</v>
      </c>
      <c r="G18" s="24">
        <v>16.0</v>
      </c>
    </row>
    <row r="19">
      <c r="F19" s="21">
        <v>105.0</v>
      </c>
      <c r="G19" s="24">
        <v>17.0</v>
      </c>
    </row>
    <row r="20">
      <c r="F20" s="21">
        <v>108.0</v>
      </c>
      <c r="G20" s="24">
        <v>18.0</v>
      </c>
    </row>
    <row r="21" ht="15.75" customHeight="1">
      <c r="F21" s="21">
        <v>110.0</v>
      </c>
      <c r="G21" s="24">
        <v>19.0</v>
      </c>
    </row>
    <row r="22" ht="15.75" customHeight="1">
      <c r="F22" s="30">
        <v>191.0</v>
      </c>
      <c r="G22" s="33">
        <v>20.0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2:G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71"/>
    <col customWidth="1" min="8" max="8" width="10.71"/>
    <col customWidth="1" min="9" max="9" width="26.71"/>
    <col customWidth="1" min="10" max="26" width="10.71"/>
  </cols>
  <sheetData>
    <row r="1">
      <c r="B1" s="1" t="s">
        <v>0</v>
      </c>
      <c r="C1" s="2"/>
      <c r="D1" s="2"/>
      <c r="E1" s="3"/>
      <c r="G1" s="34" t="s">
        <v>11</v>
      </c>
      <c r="H1" s="35"/>
      <c r="I1" s="36"/>
    </row>
    <row r="2">
      <c r="B2" s="4" t="s">
        <v>1</v>
      </c>
      <c r="C2" s="6" t="s">
        <v>3</v>
      </c>
      <c r="D2" s="37" t="s">
        <v>12</v>
      </c>
      <c r="E2" s="38" t="s">
        <v>13</v>
      </c>
      <c r="G2" s="23" t="s">
        <v>14</v>
      </c>
      <c r="H2" s="22">
        <v>10.0</v>
      </c>
      <c r="I2" s="22"/>
    </row>
    <row r="3">
      <c r="B3" s="14">
        <v>91.0</v>
      </c>
      <c r="C3" s="16">
        <v>81.0</v>
      </c>
      <c r="D3" s="39">
        <f t="shared" ref="D3:D12" si="1">B3-C3</f>
        <v>10</v>
      </c>
      <c r="E3" s="17">
        <v>1.0</v>
      </c>
      <c r="G3" s="23" t="s">
        <v>15</v>
      </c>
      <c r="H3" s="22">
        <v>0.5</v>
      </c>
      <c r="I3" s="22"/>
    </row>
    <row r="4">
      <c r="B4" s="21">
        <v>46.0</v>
      </c>
      <c r="C4" s="23">
        <v>51.0</v>
      </c>
      <c r="D4" s="40">
        <f t="shared" si="1"/>
        <v>-5</v>
      </c>
      <c r="E4" s="24"/>
      <c r="G4" s="23" t="s">
        <v>16</v>
      </c>
      <c r="H4" s="22">
        <f>E13</f>
        <v>7</v>
      </c>
      <c r="I4" s="22"/>
    </row>
    <row r="5">
      <c r="B5" s="21">
        <v>108.0</v>
      </c>
      <c r="C5" s="23">
        <v>63.0</v>
      </c>
      <c r="D5" s="40">
        <f t="shared" si="1"/>
        <v>45</v>
      </c>
      <c r="E5" s="24">
        <v>1.0</v>
      </c>
      <c r="G5" s="22"/>
      <c r="H5" s="22"/>
      <c r="I5" s="22"/>
    </row>
    <row r="6">
      <c r="B6" s="21">
        <v>99.0</v>
      </c>
      <c r="C6" s="23">
        <v>51.0</v>
      </c>
      <c r="D6" s="40">
        <f t="shared" si="1"/>
        <v>48</v>
      </c>
      <c r="E6" s="24">
        <v>1.0</v>
      </c>
      <c r="G6" s="23" t="s">
        <v>17</v>
      </c>
      <c r="H6" s="22">
        <f>_xlfn.BINOM.DIST(7,$H$2,$H$3,FALSE)</f>
        <v>0.1171875</v>
      </c>
      <c r="I6" s="22"/>
    </row>
    <row r="7">
      <c r="B7" s="21">
        <v>110.0</v>
      </c>
      <c r="C7" s="23">
        <v>46.0</v>
      </c>
      <c r="D7" s="40">
        <f t="shared" si="1"/>
        <v>64</v>
      </c>
      <c r="E7" s="24">
        <v>1.0</v>
      </c>
      <c r="G7" s="23" t="s">
        <v>18</v>
      </c>
      <c r="H7" s="22">
        <f>_xlfn.BINOM.DIST(8,$H$2,$H$3,FALSE)</f>
        <v>0.0439453125</v>
      </c>
      <c r="I7" s="22"/>
    </row>
    <row r="8">
      <c r="B8" s="21">
        <v>105.0</v>
      </c>
      <c r="C8" s="23">
        <v>45.0</v>
      </c>
      <c r="D8" s="40">
        <f t="shared" si="1"/>
        <v>60</v>
      </c>
      <c r="E8" s="24">
        <v>1.0</v>
      </c>
      <c r="G8" s="23" t="s">
        <v>19</v>
      </c>
      <c r="H8" s="22">
        <f>_xlfn.BINOM.DIST(9,$H$2,$H$3,FALSE)</f>
        <v>0.009765625</v>
      </c>
      <c r="I8" s="22"/>
    </row>
    <row r="9">
      <c r="B9" s="21">
        <v>191.0</v>
      </c>
      <c r="C9" s="23">
        <v>66.0</v>
      </c>
      <c r="D9" s="40">
        <f t="shared" si="1"/>
        <v>125</v>
      </c>
      <c r="E9" s="24">
        <v>1.0</v>
      </c>
      <c r="G9" s="23" t="s">
        <v>20</v>
      </c>
      <c r="H9" s="22">
        <f>_xlfn.BINOM.DIST(10,$H$2,$H$3,FALSE)</f>
        <v>0.0009765625</v>
      </c>
      <c r="I9" s="22"/>
    </row>
    <row r="10">
      <c r="B10" s="21">
        <v>57.0</v>
      </c>
      <c r="C10" s="23">
        <v>64.0</v>
      </c>
      <c r="D10" s="40">
        <f t="shared" si="1"/>
        <v>-7</v>
      </c>
      <c r="E10" s="24"/>
      <c r="G10" s="22"/>
      <c r="H10" s="22"/>
      <c r="I10" s="41" t="s">
        <v>21</v>
      </c>
    </row>
    <row r="11">
      <c r="B11" s="21">
        <v>34.0</v>
      </c>
      <c r="C11" s="23">
        <v>90.0</v>
      </c>
      <c r="D11" s="40">
        <f t="shared" si="1"/>
        <v>-56</v>
      </c>
      <c r="E11" s="24"/>
      <c r="G11" s="41" t="s">
        <v>22</v>
      </c>
      <c r="H11" s="40">
        <f>SUM(H6:H9)</f>
        <v>0.171875</v>
      </c>
      <c r="I11" s="40">
        <f>H11*2</f>
        <v>0.34375</v>
      </c>
    </row>
    <row r="12">
      <c r="B12" s="42">
        <v>81.0</v>
      </c>
      <c r="C12" s="43">
        <v>28.0</v>
      </c>
      <c r="D12" s="44">
        <f t="shared" si="1"/>
        <v>53</v>
      </c>
      <c r="E12" s="45">
        <v>1.0</v>
      </c>
      <c r="G12" s="22"/>
      <c r="H12" s="22"/>
      <c r="I12" s="22"/>
    </row>
    <row r="13">
      <c r="A13" s="46" t="s">
        <v>23</v>
      </c>
      <c r="B13" s="47"/>
      <c r="C13" s="47"/>
      <c r="D13" s="47"/>
      <c r="E13" s="48">
        <f>SUM(E3:E12)</f>
        <v>7</v>
      </c>
      <c r="G13" s="49" t="s">
        <v>24</v>
      </c>
      <c r="H13" s="35"/>
      <c r="I13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G1:I1"/>
    <mergeCell ref="G13:I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0"/>
    <col customWidth="1" min="4" max="4" width="21.43"/>
    <col customWidth="1" min="5" max="26" width="10.71"/>
  </cols>
  <sheetData>
    <row r="1">
      <c r="A1" s="50" t="s">
        <v>0</v>
      </c>
      <c r="B1" s="51"/>
      <c r="C1" s="51"/>
      <c r="D1" s="52"/>
    </row>
    <row r="2">
      <c r="A2" s="53" t="s">
        <v>1</v>
      </c>
      <c r="B2" s="54" t="s">
        <v>3</v>
      </c>
      <c r="C2" s="55" t="s">
        <v>12</v>
      </c>
      <c r="D2" s="56" t="s">
        <v>25</v>
      </c>
      <c r="G2" s="57" t="s">
        <v>26</v>
      </c>
      <c r="H2" s="58"/>
      <c r="I2" s="59" t="s">
        <v>27</v>
      </c>
    </row>
    <row r="3">
      <c r="A3" s="60">
        <v>91.0</v>
      </c>
      <c r="B3" s="61">
        <v>81.0</v>
      </c>
      <c r="C3" s="62">
        <f t="shared" ref="C3:C12" si="1">A3-B3</f>
        <v>10</v>
      </c>
      <c r="D3" s="63">
        <v>10.0</v>
      </c>
      <c r="G3" s="64">
        <v>1.0</v>
      </c>
      <c r="H3" s="23">
        <v>5.0</v>
      </c>
      <c r="I3" s="65">
        <v>-1.0</v>
      </c>
    </row>
    <row r="4">
      <c r="A4" s="21">
        <v>46.0</v>
      </c>
      <c r="B4" s="23">
        <v>51.0</v>
      </c>
      <c r="C4" s="23">
        <f t="shared" si="1"/>
        <v>-5</v>
      </c>
      <c r="D4" s="66">
        <v>5.0</v>
      </c>
      <c r="G4" s="25">
        <v>2.0</v>
      </c>
      <c r="H4" s="23">
        <v>7.0</v>
      </c>
      <c r="I4" s="65">
        <v>-2.0</v>
      </c>
    </row>
    <row r="5">
      <c r="A5" s="21">
        <v>108.0</v>
      </c>
      <c r="B5" s="23">
        <v>63.0</v>
      </c>
      <c r="C5" s="67">
        <f t="shared" si="1"/>
        <v>45</v>
      </c>
      <c r="D5" s="66">
        <v>45.0</v>
      </c>
      <c r="G5" s="25">
        <v>3.0</v>
      </c>
      <c r="H5" s="67">
        <v>10.0</v>
      </c>
      <c r="I5" s="24"/>
    </row>
    <row r="6">
      <c r="A6" s="21">
        <v>99.0</v>
      </c>
      <c r="B6" s="23">
        <v>51.0</v>
      </c>
      <c r="C6" s="67">
        <f t="shared" si="1"/>
        <v>48</v>
      </c>
      <c r="D6" s="66">
        <v>48.0</v>
      </c>
      <c r="G6" s="25">
        <v>4.0</v>
      </c>
      <c r="H6" s="67">
        <v>45.0</v>
      </c>
      <c r="I6" s="24"/>
    </row>
    <row r="7">
      <c r="A7" s="21">
        <v>110.0</v>
      </c>
      <c r="B7" s="23">
        <v>46.0</v>
      </c>
      <c r="C7" s="67">
        <f t="shared" si="1"/>
        <v>64</v>
      </c>
      <c r="D7" s="66">
        <v>64.0</v>
      </c>
      <c r="G7" s="25">
        <v>5.0</v>
      </c>
      <c r="H7" s="67">
        <v>48.0</v>
      </c>
      <c r="I7" s="24"/>
    </row>
    <row r="8">
      <c r="A8" s="21">
        <v>105.0</v>
      </c>
      <c r="B8" s="23">
        <v>45.0</v>
      </c>
      <c r="C8" s="67">
        <f t="shared" si="1"/>
        <v>60</v>
      </c>
      <c r="D8" s="66">
        <v>60.0</v>
      </c>
      <c r="G8" s="25">
        <v>6.0</v>
      </c>
      <c r="H8" s="67">
        <v>53.0</v>
      </c>
      <c r="I8" s="24"/>
    </row>
    <row r="9">
      <c r="A9" s="21">
        <v>191.0</v>
      </c>
      <c r="B9" s="23">
        <v>66.0</v>
      </c>
      <c r="C9" s="67">
        <f t="shared" si="1"/>
        <v>125</v>
      </c>
      <c r="D9" s="66">
        <v>125.0</v>
      </c>
      <c r="G9" s="25">
        <v>7.0</v>
      </c>
      <c r="H9" s="23">
        <v>56.0</v>
      </c>
      <c r="I9" s="65">
        <v>-7.0</v>
      </c>
    </row>
    <row r="10">
      <c r="A10" s="21">
        <v>57.0</v>
      </c>
      <c r="B10" s="23">
        <v>64.0</v>
      </c>
      <c r="C10" s="23">
        <f t="shared" si="1"/>
        <v>-7</v>
      </c>
      <c r="D10" s="68">
        <v>7.0</v>
      </c>
      <c r="G10" s="25">
        <v>8.0</v>
      </c>
      <c r="H10" s="67">
        <v>60.0</v>
      </c>
      <c r="I10" s="24"/>
    </row>
    <row r="11">
      <c r="A11" s="21">
        <v>34.0</v>
      </c>
      <c r="B11" s="23">
        <v>90.0</v>
      </c>
      <c r="C11" s="23">
        <f t="shared" si="1"/>
        <v>-56</v>
      </c>
      <c r="D11" s="68">
        <v>56.0</v>
      </c>
      <c r="G11" s="25">
        <v>9.0</v>
      </c>
      <c r="H11" s="67">
        <v>64.0</v>
      </c>
      <c r="I11" s="24"/>
    </row>
    <row r="12">
      <c r="A12" s="30">
        <v>81.0</v>
      </c>
      <c r="B12" s="32">
        <v>28.0</v>
      </c>
      <c r="C12" s="69">
        <f t="shared" si="1"/>
        <v>53</v>
      </c>
      <c r="D12" s="70">
        <v>53.0</v>
      </c>
      <c r="G12" s="71">
        <v>10.0</v>
      </c>
      <c r="H12" s="69">
        <v>125.0</v>
      </c>
      <c r="I12" s="33"/>
    </row>
    <row r="13" ht="36.75" customHeight="1">
      <c r="F13" s="72" t="s">
        <v>28</v>
      </c>
      <c r="G13" s="51"/>
      <c r="H13" s="73"/>
      <c r="I13" s="74">
        <f>SUM(I3:I12)</f>
        <v>-10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13:H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2025-05-27T01:34:08Z</dcterms:created>
  <dc:creator>Armando Gaston Acuña</dc:creator>
</cp:coreProperties>
</file>